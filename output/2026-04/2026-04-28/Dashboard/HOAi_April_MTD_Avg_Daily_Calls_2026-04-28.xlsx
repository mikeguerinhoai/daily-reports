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stomer Detail" sheetId="1" state="visible" r:id="rId1"/>
    <sheet xmlns:r="http://schemas.openxmlformats.org/officeDocument/2006/relationships" name="Tier Summary" sheetId="2" state="visible" r:id="rId2"/>
    <sheet xmlns:r="http://schemas.openxmlformats.org/officeDocument/2006/relationships" name="Top 20 Chart" sheetId="3" state="visible" r:id="rId3"/>
  </sheets>
  <definedNames>
    <definedName name="_xlnm._FilterDatabase" localSheetId="0" hidden="1">'Customer Detail'!$A$4:$L$63</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7">
    <font>
      <name val="Calibri"/>
      <family val="2"/>
      <color theme="1"/>
      <sz val="11"/>
      <scheme val="minor"/>
    </font>
    <font>
      <name val="Calibri"/>
      <b val="1"/>
      <color rgb="001B2A4A"/>
      <sz val="14"/>
    </font>
    <font>
      <name val="Calibri"/>
      <color rgb="0064748B"/>
      <sz val="10"/>
    </font>
    <font>
      <name val="Calibri"/>
      <b val="1"/>
      <color rgb="00FFFFFF"/>
      <sz val="11"/>
    </font>
    <font>
      <name val="Calibri"/>
      <b val="1"/>
      <sz val="11"/>
    </font>
    <font>
      <name val="Calibri"/>
      <b val="1"/>
      <color rgb="001B2A4A"/>
      <sz val="12"/>
    </font>
    <font>
      <name val="Calibri"/>
      <b val="1"/>
      <sz val="10"/>
    </font>
  </fonts>
  <fills count="9">
    <fill>
      <patternFill/>
    </fill>
    <fill>
      <patternFill patternType="gray125"/>
    </fill>
    <fill>
      <patternFill patternType="solid">
        <fgColor rgb="001B2A4A"/>
        <bgColor rgb="001B2A4A"/>
      </patternFill>
    </fill>
    <fill>
      <patternFill patternType="solid">
        <fgColor rgb="00DCFCE7"/>
        <bgColor rgb="00DCFCE7"/>
      </patternFill>
    </fill>
    <fill>
      <patternFill patternType="solid">
        <fgColor rgb="00F8FAFC"/>
        <bgColor rgb="00F8FAFC"/>
      </patternFill>
    </fill>
    <fill>
      <patternFill patternType="solid">
        <fgColor rgb="00FEF9C3"/>
        <bgColor rgb="00FEF9C3"/>
      </patternFill>
    </fill>
    <fill>
      <patternFill patternType="solid">
        <fgColor rgb="00FFEDD5"/>
        <bgColor rgb="00FFEDD5"/>
      </patternFill>
    </fill>
    <fill>
      <patternFill patternType="solid">
        <fgColor rgb="00FEE2E2"/>
        <bgColor rgb="00FEE2E2"/>
      </patternFill>
    </fill>
    <fill>
      <patternFill patternType="solid">
        <fgColor rgb="00E2E8F0"/>
        <bgColor rgb="00E2E8F0"/>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33">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1" applyAlignment="1" pivotButton="0" quotePrefix="0" xfId="0">
      <alignment horizontal="left" vertical="center"/>
    </xf>
    <xf numFmtId="0" fontId="0" fillId="3" borderId="1" applyAlignment="1" pivotButton="0" quotePrefix="0" xfId="0">
      <alignment horizontal="center" vertical="center"/>
    </xf>
    <xf numFmtId="3" fontId="0" fillId="0" borderId="1" applyAlignment="1" pivotButton="0" quotePrefix="0" xfId="0">
      <alignment horizontal="center" vertical="center"/>
    </xf>
    <xf numFmtId="164" fontId="0" fillId="0" borderId="1" applyAlignment="1" pivotButton="0" quotePrefix="0" xfId="0">
      <alignment horizontal="center" vertical="center"/>
    </xf>
    <xf numFmtId="165" fontId="0" fillId="0" borderId="1" applyAlignment="1" pivotButton="0" quotePrefix="0" xfId="0">
      <alignment horizontal="center" vertical="center"/>
    </xf>
    <xf numFmtId="0" fontId="0" fillId="4" borderId="1" applyAlignment="1" pivotButton="0" quotePrefix="0" xfId="0">
      <alignment horizontal="center" vertical="center"/>
    </xf>
    <xf numFmtId="0" fontId="0" fillId="4" borderId="1" applyAlignment="1" pivotButton="0" quotePrefix="0" xfId="0">
      <alignment horizontal="left" vertical="center"/>
    </xf>
    <xf numFmtId="3" fontId="0" fillId="4" borderId="1" applyAlignment="1" pivotButton="0" quotePrefix="0" xfId="0">
      <alignment horizontal="center" vertical="center"/>
    </xf>
    <xf numFmtId="164" fontId="0" fillId="4" borderId="1" applyAlignment="1" pivotButton="0" quotePrefix="0" xfId="0">
      <alignment horizontal="center" vertical="center"/>
    </xf>
    <xf numFmtId="165" fontId="0" fillId="4" borderId="1" applyAlignment="1" pivotButton="0" quotePrefix="0" xfId="0">
      <alignment horizontal="center" vertical="center"/>
    </xf>
    <xf numFmtId="0" fontId="0" fillId="5" borderId="1" applyAlignment="1" pivotButton="0" quotePrefix="0" xfId="0">
      <alignment horizontal="center" vertical="center"/>
    </xf>
    <xf numFmtId="0" fontId="0" fillId="6" borderId="1" applyAlignment="1" pivotButton="0" quotePrefix="0" xfId="0">
      <alignment horizontal="center" vertical="center"/>
    </xf>
    <xf numFmtId="0" fontId="0" fillId="7" borderId="1" applyAlignment="1" pivotButton="0" quotePrefix="0" xfId="0">
      <alignment horizontal="center" vertical="center"/>
    </xf>
    <xf numFmtId="0" fontId="4" fillId="8" borderId="1" applyAlignment="1" pivotButton="0" quotePrefix="0" xfId="0">
      <alignment horizontal="center" vertical="center"/>
    </xf>
    <xf numFmtId="0" fontId="4" fillId="8" borderId="1" applyAlignment="1" pivotButton="0" quotePrefix="0" xfId="0">
      <alignment horizontal="left" vertical="center"/>
    </xf>
    <xf numFmtId="3" fontId="4" fillId="8" borderId="1" applyAlignment="1" pivotButton="0" quotePrefix="0" xfId="0">
      <alignment horizontal="center" vertical="center"/>
    </xf>
    <xf numFmtId="164" fontId="4" fillId="8" borderId="1" applyAlignment="1" pivotButton="0" quotePrefix="0" xfId="0">
      <alignment horizontal="center" vertical="center"/>
    </xf>
    <xf numFmtId="0" fontId="1" fillId="0" borderId="0" pivotButton="0" quotePrefix="0" xfId="0"/>
    <xf numFmtId="0" fontId="0" fillId="3" borderId="1" applyAlignment="1" pivotButton="0" quotePrefix="0" xfId="0">
      <alignment horizontal="left" vertical="center"/>
    </xf>
    <xf numFmtId="0" fontId="0" fillId="5" borderId="1" applyAlignment="1" pivotButton="0" quotePrefix="0" xfId="0">
      <alignment horizontal="left" vertical="center"/>
    </xf>
    <xf numFmtId="0" fontId="0" fillId="6" borderId="1" applyAlignment="1" pivotButton="0" quotePrefix="0" xfId="0">
      <alignment horizontal="left" vertical="center"/>
    </xf>
    <xf numFmtId="0" fontId="0" fillId="7" borderId="1" applyAlignment="1" pivotButton="0" quotePrefix="0" xfId="0">
      <alignment horizontal="left" vertical="center"/>
    </xf>
    <xf numFmtId="0" fontId="5" fillId="0" borderId="0" pivotButton="0" quotePrefix="0" xfId="0"/>
    <xf numFmtId="0" fontId="6" fillId="3" borderId="0" pivotButton="0" quotePrefix="0" xfId="0"/>
    <xf numFmtId="0" fontId="0" fillId="0" borderId="0" applyAlignment="1" pivotButton="0" quotePrefix="0" xfId="0">
      <alignment vertical="top" wrapText="1"/>
    </xf>
    <xf numFmtId="0" fontId="6" fillId="5" borderId="0" pivotButton="0" quotePrefix="0" xfId="0"/>
    <xf numFmtId="0" fontId="6" fillId="6" borderId="0" pivotButton="0" quotePrefix="0" xfId="0"/>
    <xf numFmtId="0" fontId="6"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Top 20 — Avg Calls per Day (April MTD)</a:t>
            </a:r>
          </a:p>
        </rich>
      </tx>
    </title>
    <plotArea>
      <barChart>
        <barDir val="bar"/>
        <grouping val="clustered"/>
        <ser>
          <idx val="0"/>
          <order val="0"/>
          <tx>
            <strRef>
              <f>'Top 20 Chart'!B3</f>
            </strRef>
          </tx>
          <spPr>
            <a:solidFill xmlns:a="http://schemas.openxmlformats.org/drawingml/2006/main">
              <a:srgbClr val="0891B2"/>
            </a:solidFill>
            <a:ln xmlns:a="http://schemas.openxmlformats.org/drawingml/2006/main">
              <a:prstDash val="solid"/>
            </a:ln>
          </spPr>
          <cat>
            <numRef>
              <f>'Top 20 Chart'!$A$4:$A$23</f>
            </numRef>
          </cat>
          <val>
            <numRef>
              <f>'Top 20 Chart'!$B$4:$B$23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Avg Calls/Day</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2</row>
      <rowOff>0</rowOff>
    </from>
    <ext cx="10080000" cy="57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B2A4A"/>
    <outlinePr summaryBelow="1" summaryRight="1"/>
    <pageSetUpPr/>
  </sheetPr>
  <dimension ref="A1:L6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42" customWidth="1" min="2" max="2"/>
    <col width="20" customWidth="1" min="3" max="3"/>
    <col width="12" customWidth="1" min="4" max="4"/>
    <col width="15" customWidth="1" min="5" max="5"/>
    <col width="14" customWidth="1" min="6" max="6"/>
    <col width="12" customWidth="1" min="7" max="7"/>
    <col width="17" customWidth="1" min="8" max="8"/>
    <col width="12" customWidth="1" min="9" max="9"/>
    <col width="15" customWidth="1" min="10" max="10"/>
    <col width="15" customWidth="1" min="11" max="11"/>
    <col width="14" customWidth="1" min="12" max="12"/>
  </cols>
  <sheetData>
    <row r="1" ht="30" customHeight="1">
      <c r="A1" s="1" t="inlineStr">
        <is>
          <t>HOAi Voice — April MTD Avg Daily Call Volume (Apr 1–28, 28 days)</t>
        </is>
      </c>
    </row>
    <row r="2">
      <c r="A2" s="2" t="inlineStr">
        <is>
          <t>Generated 2026-04-29  |  59 active companies  |  45,894 total calls  |  1,639.1 avg/day</t>
        </is>
      </c>
    </row>
    <row r="4" ht="32" customHeight="1">
      <c r="A4" s="3" t="inlineStr">
        <is>
          <t>#</t>
        </is>
      </c>
      <c r="B4" s="3" t="inlineStr">
        <is>
          <t>Company</t>
        </is>
      </c>
      <c r="C4" s="3" t="inlineStr">
        <is>
          <t>Volume Tier</t>
        </is>
      </c>
      <c r="D4" s="3" t="inlineStr">
        <is>
          <t>MTD Calls</t>
        </is>
      </c>
      <c r="E4" s="3" t="inlineStr">
        <is>
          <t>Avg Calls/Day</t>
        </is>
      </c>
      <c r="F4" s="3" t="inlineStr">
        <is>
          <t>Deflection %</t>
        </is>
      </c>
      <c r="G4" s="3" t="inlineStr">
        <is>
          <t>Transfer %</t>
        </is>
      </c>
      <c r="H4" s="3" t="inlineStr">
        <is>
          <t>Avg Duration (s)</t>
        </is>
      </c>
      <c r="I4" s="3" t="inlineStr">
        <is>
          <t>Hours Saved</t>
        </is>
      </c>
      <c r="J4" s="3" t="inlineStr">
        <is>
          <t>Included Calls</t>
        </is>
      </c>
      <c r="K4" s="3" t="inlineStr">
        <is>
          <t>Pace vs Plan %</t>
        </is>
      </c>
      <c r="L4" s="3" t="inlineStr">
        <is>
          <t>Projected EOM</t>
        </is>
      </c>
    </row>
    <row r="5">
      <c r="A5" s="4" t="n">
        <v>1</v>
      </c>
      <c r="B5" s="5" t="inlineStr">
        <is>
          <t>Alliant</t>
        </is>
      </c>
      <c r="C5" s="6" t="inlineStr">
        <is>
          <t>Tier 1 (100+/day)</t>
        </is>
      </c>
      <c r="D5" s="7" t="n">
        <v>6616</v>
      </c>
      <c r="E5" s="8" t="n">
        <v>236.3</v>
      </c>
      <c r="F5" s="9" t="n">
        <v>56.2</v>
      </c>
      <c r="G5" s="9" t="n">
        <v>39.8</v>
      </c>
      <c r="H5" s="9" t="n">
        <v>0</v>
      </c>
      <c r="I5" s="8" t="n">
        <v>278.8</v>
      </c>
      <c r="J5" s="7" t="inlineStr"/>
      <c r="K5" s="9" t="inlineStr"/>
      <c r="L5" s="7" t="inlineStr"/>
    </row>
    <row r="6">
      <c r="A6" s="10" t="n">
        <v>2</v>
      </c>
      <c r="B6" s="11" t="inlineStr">
        <is>
          <t>Silverleaf Management</t>
        </is>
      </c>
      <c r="C6" s="6" t="inlineStr">
        <is>
          <t>Tier 1 (100+/day)</t>
        </is>
      </c>
      <c r="D6" s="12" t="n">
        <v>3661</v>
      </c>
      <c r="E6" s="13" t="n">
        <v>130.8</v>
      </c>
      <c r="F6" s="14" t="n">
        <v>31.2</v>
      </c>
      <c r="G6" s="14" t="n">
        <v>64.90000000000001</v>
      </c>
      <c r="H6" s="14" t="n">
        <v>0</v>
      </c>
      <c r="I6" s="13" t="n">
        <v>85.7</v>
      </c>
      <c r="J6" s="12" t="inlineStr"/>
      <c r="K6" s="14" t="inlineStr"/>
      <c r="L6" s="12" t="inlineStr"/>
    </row>
    <row r="7">
      <c r="A7" s="4" t="n">
        <v>3</v>
      </c>
      <c r="B7" s="5" t="inlineStr">
        <is>
          <t>Juda, Eskew, &amp; Associates</t>
        </is>
      </c>
      <c r="C7" s="6" t="inlineStr">
        <is>
          <t>Tier 1 (100+/day)</t>
        </is>
      </c>
      <c r="D7" s="7" t="n">
        <v>3638</v>
      </c>
      <c r="E7" s="8" t="n">
        <v>129.9</v>
      </c>
      <c r="F7" s="9" t="n">
        <v>41.6</v>
      </c>
      <c r="G7" s="9" t="n">
        <v>54.7</v>
      </c>
      <c r="H7" s="9" t="n">
        <v>0</v>
      </c>
      <c r="I7" s="8" t="n">
        <v>113.5</v>
      </c>
      <c r="J7" s="7" t="inlineStr"/>
      <c r="K7" s="9" t="inlineStr"/>
      <c r="L7" s="7" t="inlineStr"/>
    </row>
    <row r="8">
      <c r="A8" s="10" t="n">
        <v>4</v>
      </c>
      <c r="B8" s="11" t="inlineStr">
        <is>
          <t>Premier Community Association Management</t>
        </is>
      </c>
      <c r="C8" s="6" t="inlineStr">
        <is>
          <t>Tier 1 (100+/day)</t>
        </is>
      </c>
      <c r="D8" s="12" t="n">
        <v>3304</v>
      </c>
      <c r="E8" s="13" t="n">
        <v>118</v>
      </c>
      <c r="F8" s="14" t="n">
        <v>40.2</v>
      </c>
      <c r="G8" s="14" t="n">
        <v>56.8</v>
      </c>
      <c r="H8" s="14" t="n">
        <v>0</v>
      </c>
      <c r="I8" s="13" t="n">
        <v>99.8</v>
      </c>
      <c r="J8" s="12" t="inlineStr"/>
      <c r="K8" s="14" t="inlineStr"/>
      <c r="L8" s="12" t="inlineStr"/>
    </row>
    <row r="9">
      <c r="A9" s="4" t="n">
        <v>5</v>
      </c>
      <c r="B9" s="5" t="inlineStr">
        <is>
          <t>Timmons Properties, Inc.</t>
        </is>
      </c>
      <c r="C9" s="15" t="inlineStr">
        <is>
          <t>Tier 2 (25-99/day)</t>
        </is>
      </c>
      <c r="D9" s="7" t="n">
        <v>2483</v>
      </c>
      <c r="E9" s="8" t="n">
        <v>88.7</v>
      </c>
      <c r="F9" s="9" t="n">
        <v>32.1</v>
      </c>
      <c r="G9" s="9" t="n">
        <v>65.40000000000001</v>
      </c>
      <c r="H9" s="9" t="n">
        <v>0</v>
      </c>
      <c r="I9" s="8" t="n">
        <v>59.8</v>
      </c>
      <c r="J9" s="7" t="inlineStr"/>
      <c r="K9" s="9" t="inlineStr"/>
      <c r="L9" s="7" t="inlineStr"/>
    </row>
    <row r="10">
      <c r="A10" s="10" t="n">
        <v>6</v>
      </c>
      <c r="B10" s="11" t="inlineStr">
        <is>
          <t>RCP Management Company</t>
        </is>
      </c>
      <c r="C10" s="15" t="inlineStr">
        <is>
          <t>Tier 2 (25-99/day)</t>
        </is>
      </c>
      <c r="D10" s="12" t="n">
        <v>1949</v>
      </c>
      <c r="E10" s="13" t="n">
        <v>69.59999999999999</v>
      </c>
      <c r="F10" s="14" t="n">
        <v>43.6</v>
      </c>
      <c r="G10" s="14" t="n">
        <v>53.6</v>
      </c>
      <c r="H10" s="14" t="n">
        <v>0</v>
      </c>
      <c r="I10" s="13" t="n">
        <v>63.7</v>
      </c>
      <c r="J10" s="12" t="inlineStr"/>
      <c r="K10" s="14" t="inlineStr"/>
      <c r="L10" s="12" t="inlineStr"/>
    </row>
    <row r="11">
      <c r="A11" s="4" t="n">
        <v>7</v>
      </c>
      <c r="B11" s="5" t="inlineStr">
        <is>
          <t>Keys Property Management</t>
        </is>
      </c>
      <c r="C11" s="15" t="inlineStr">
        <is>
          <t>Tier 2 (25-99/day)</t>
        </is>
      </c>
      <c r="D11" s="7" t="n">
        <v>1689</v>
      </c>
      <c r="E11" s="8" t="n">
        <v>60.3</v>
      </c>
      <c r="F11" s="9" t="n">
        <v>38.1</v>
      </c>
      <c r="G11" s="9" t="n">
        <v>59.2</v>
      </c>
      <c r="H11" s="9" t="n">
        <v>0</v>
      </c>
      <c r="I11" s="8" t="n">
        <v>48.2</v>
      </c>
      <c r="J11" s="7" t="inlineStr"/>
      <c r="K11" s="9" t="inlineStr"/>
      <c r="L11" s="7" t="inlineStr"/>
    </row>
    <row r="12">
      <c r="A12" s="10" t="n">
        <v>8</v>
      </c>
      <c r="B12" s="11" t="inlineStr">
        <is>
          <t>Management Plus</t>
        </is>
      </c>
      <c r="C12" s="15" t="inlineStr">
        <is>
          <t>Tier 2 (25-99/day)</t>
        </is>
      </c>
      <c r="D12" s="12" t="n">
        <v>1686</v>
      </c>
      <c r="E12" s="13" t="n">
        <v>60.2</v>
      </c>
      <c r="F12" s="14" t="n">
        <v>40.1</v>
      </c>
      <c r="G12" s="14" t="n">
        <v>57.1</v>
      </c>
      <c r="H12" s="14" t="n">
        <v>0</v>
      </c>
      <c r="I12" s="13" t="n">
        <v>50.7</v>
      </c>
      <c r="J12" s="12" t="inlineStr"/>
      <c r="K12" s="14" t="inlineStr"/>
      <c r="L12" s="12" t="inlineStr"/>
    </row>
    <row r="13">
      <c r="A13" s="4" t="n">
        <v>9</v>
      </c>
      <c r="B13" s="5" t="inlineStr">
        <is>
          <t>Premier</t>
        </is>
      </c>
      <c r="C13" s="15" t="inlineStr">
        <is>
          <t>Tier 2 (25-99/day)</t>
        </is>
      </c>
      <c r="D13" s="7" t="n">
        <v>1593</v>
      </c>
      <c r="E13" s="8" t="n">
        <v>56.9</v>
      </c>
      <c r="F13" s="9" t="n">
        <v>50</v>
      </c>
      <c r="G13" s="9" t="n">
        <v>47.1</v>
      </c>
      <c r="H13" s="9" t="n">
        <v>0</v>
      </c>
      <c r="I13" s="8" t="n">
        <v>59.7</v>
      </c>
      <c r="J13" s="7" t="inlineStr"/>
      <c r="K13" s="9" t="inlineStr"/>
      <c r="L13" s="7" t="inlineStr"/>
    </row>
    <row r="14">
      <c r="A14" s="10" t="n">
        <v>10</v>
      </c>
      <c r="B14" s="11" t="inlineStr">
        <is>
          <t>CMG</t>
        </is>
      </c>
      <c r="C14" s="15" t="inlineStr">
        <is>
          <t>Tier 2 (25-99/day)</t>
        </is>
      </c>
      <c r="D14" s="12" t="n">
        <v>1291</v>
      </c>
      <c r="E14" s="13" t="n">
        <v>46.1</v>
      </c>
      <c r="F14" s="14" t="n">
        <v>38.5</v>
      </c>
      <c r="G14" s="14" t="n">
        <v>57.9</v>
      </c>
      <c r="H14" s="14" t="n">
        <v>0</v>
      </c>
      <c r="I14" s="13" t="n">
        <v>37.3</v>
      </c>
      <c r="J14" s="12" t="inlineStr"/>
      <c r="K14" s="14" t="inlineStr"/>
      <c r="L14" s="12" t="inlineStr"/>
    </row>
    <row r="15">
      <c r="A15" s="4" t="n">
        <v>11</v>
      </c>
      <c r="B15" s="5" t="inlineStr">
        <is>
          <t>Interpacific Asset Management</t>
        </is>
      </c>
      <c r="C15" s="15" t="inlineStr">
        <is>
          <t>Tier 2 (25-99/day)</t>
        </is>
      </c>
      <c r="D15" s="7" t="n">
        <v>1289</v>
      </c>
      <c r="E15" s="8" t="n">
        <v>46</v>
      </c>
      <c r="F15" s="9" t="n">
        <v>53.8</v>
      </c>
      <c r="G15" s="9" t="n">
        <v>42.1</v>
      </c>
      <c r="H15" s="9" t="n">
        <v>0</v>
      </c>
      <c r="I15" s="8" t="n">
        <v>52</v>
      </c>
      <c r="J15" s="7" t="inlineStr"/>
      <c r="K15" s="9" t="inlineStr"/>
      <c r="L15" s="7" t="inlineStr"/>
    </row>
    <row r="16">
      <c r="A16" s="10" t="n">
        <v>12</v>
      </c>
      <c r="B16" s="11" t="inlineStr">
        <is>
          <t>FiveKeys Community Management</t>
        </is>
      </c>
      <c r="C16" s="15" t="inlineStr">
        <is>
          <t>Tier 2 (25-99/day)</t>
        </is>
      </c>
      <c r="D16" s="12" t="n">
        <v>1267</v>
      </c>
      <c r="E16" s="13" t="n">
        <v>45.2</v>
      </c>
      <c r="F16" s="14" t="n">
        <v>29</v>
      </c>
      <c r="G16" s="14" t="n">
        <v>68.8</v>
      </c>
      <c r="H16" s="14" t="n">
        <v>0</v>
      </c>
      <c r="I16" s="13" t="n">
        <v>27.6</v>
      </c>
      <c r="J16" s="12" t="inlineStr"/>
      <c r="K16" s="14" t="inlineStr"/>
      <c r="L16" s="12" t="inlineStr"/>
    </row>
    <row r="17">
      <c r="A17" s="4" t="n">
        <v>13</v>
      </c>
      <c r="B17" s="5" t="inlineStr">
        <is>
          <t>Sage Management LLC</t>
        </is>
      </c>
      <c r="C17" s="15" t="inlineStr">
        <is>
          <t>Tier 2 (25-99/day)</t>
        </is>
      </c>
      <c r="D17" s="7" t="n">
        <v>1253</v>
      </c>
      <c r="E17" s="8" t="n">
        <v>44.8</v>
      </c>
      <c r="F17" s="9" t="n">
        <v>42.1</v>
      </c>
      <c r="G17" s="9" t="n">
        <v>56.1</v>
      </c>
      <c r="H17" s="9" t="n">
        <v>0</v>
      </c>
      <c r="I17" s="8" t="n">
        <v>39.6</v>
      </c>
      <c r="J17" s="7" t="inlineStr"/>
      <c r="K17" s="9" t="inlineStr"/>
      <c r="L17" s="7" t="inlineStr"/>
    </row>
    <row r="18">
      <c r="A18" s="10" t="n">
        <v>14</v>
      </c>
      <c r="B18" s="11" t="inlineStr">
        <is>
          <t>Island Condo LLC</t>
        </is>
      </c>
      <c r="C18" s="15" t="inlineStr">
        <is>
          <t>Tier 2 (25-99/day)</t>
        </is>
      </c>
      <c r="D18" s="12" t="n">
        <v>1195</v>
      </c>
      <c r="E18" s="13" t="n">
        <v>42.7</v>
      </c>
      <c r="F18" s="14" t="n">
        <v>34.1</v>
      </c>
      <c r="G18" s="14" t="n">
        <v>63.6</v>
      </c>
      <c r="H18" s="14" t="n">
        <v>0</v>
      </c>
      <c r="I18" s="13" t="n">
        <v>30.6</v>
      </c>
      <c r="J18" s="12" t="inlineStr"/>
      <c r="K18" s="14" t="inlineStr"/>
      <c r="L18" s="12" t="inlineStr"/>
    </row>
    <row r="19">
      <c r="A19" s="4" t="n">
        <v>15</v>
      </c>
      <c r="B19" s="5" t="inlineStr">
        <is>
          <t>HOALiving</t>
        </is>
      </c>
      <c r="C19" s="15" t="inlineStr">
        <is>
          <t>Tier 2 (25-99/day)</t>
        </is>
      </c>
      <c r="D19" s="7" t="n">
        <v>1142</v>
      </c>
      <c r="E19" s="8" t="n">
        <v>40.8</v>
      </c>
      <c r="F19" s="9" t="n">
        <v>54</v>
      </c>
      <c r="G19" s="9" t="n">
        <v>44</v>
      </c>
      <c r="H19" s="9" t="n">
        <v>0</v>
      </c>
      <c r="I19" s="8" t="n">
        <v>46.3</v>
      </c>
      <c r="J19" s="7" t="inlineStr"/>
      <c r="K19" s="9" t="inlineStr"/>
      <c r="L19" s="7" t="inlineStr"/>
    </row>
    <row r="20">
      <c r="A20" s="10" t="n">
        <v>16</v>
      </c>
      <c r="B20" s="11" t="inlineStr">
        <is>
          <t>WPM Real Estate Management</t>
        </is>
      </c>
      <c r="C20" s="15" t="inlineStr">
        <is>
          <t>Tier 2 (25-99/day)</t>
        </is>
      </c>
      <c r="D20" s="12" t="n">
        <v>997</v>
      </c>
      <c r="E20" s="13" t="n">
        <v>35.6</v>
      </c>
      <c r="F20" s="14" t="n">
        <v>42.4</v>
      </c>
      <c r="G20" s="14" t="n">
        <v>55.2</v>
      </c>
      <c r="H20" s="14" t="n">
        <v>0</v>
      </c>
      <c r="I20" s="13" t="n">
        <v>31.7</v>
      </c>
      <c r="J20" s="12" t="inlineStr"/>
      <c r="K20" s="14" t="inlineStr"/>
      <c r="L20" s="12" t="inlineStr"/>
    </row>
    <row r="21">
      <c r="A21" s="4" t="n">
        <v>17</v>
      </c>
      <c r="B21" s="5" t="inlineStr">
        <is>
          <t>Association Services of Washington</t>
        </is>
      </c>
      <c r="C21" s="15" t="inlineStr">
        <is>
          <t>Tier 2 (25-99/day)</t>
        </is>
      </c>
      <c r="D21" s="7" t="n">
        <v>886</v>
      </c>
      <c r="E21" s="8" t="n">
        <v>31.6</v>
      </c>
      <c r="F21" s="9" t="n">
        <v>32</v>
      </c>
      <c r="G21" s="9" t="n">
        <v>64.90000000000001</v>
      </c>
      <c r="H21" s="9" t="n">
        <v>0</v>
      </c>
      <c r="I21" s="8" t="n">
        <v>21.3</v>
      </c>
      <c r="J21" s="7" t="inlineStr"/>
      <c r="K21" s="9" t="inlineStr"/>
      <c r="L21" s="7" t="inlineStr"/>
    </row>
    <row r="22">
      <c r="A22" s="10" t="n">
        <v>18</v>
      </c>
      <c r="B22" s="11" t="inlineStr">
        <is>
          <t>The Manor Association</t>
        </is>
      </c>
      <c r="C22" s="15" t="inlineStr">
        <is>
          <t>Tier 2 (25-99/day)</t>
        </is>
      </c>
      <c r="D22" s="12" t="n">
        <v>870</v>
      </c>
      <c r="E22" s="13" t="n">
        <v>31.1</v>
      </c>
      <c r="F22" s="14" t="n">
        <v>33.3</v>
      </c>
      <c r="G22" s="14" t="n">
        <v>64.5</v>
      </c>
      <c r="H22" s="14" t="n">
        <v>0</v>
      </c>
      <c r="I22" s="13" t="n">
        <v>21.8</v>
      </c>
      <c r="J22" s="12" t="inlineStr"/>
      <c r="K22" s="14" t="inlineStr"/>
      <c r="L22" s="12" t="inlineStr"/>
    </row>
    <row r="23">
      <c r="A23" s="4" t="n">
        <v>19</v>
      </c>
      <c r="B23" s="5" t="inlineStr">
        <is>
          <t>ACCU</t>
        </is>
      </c>
      <c r="C23" s="15" t="inlineStr">
        <is>
          <t>Tier 2 (25-99/day)</t>
        </is>
      </c>
      <c r="D23" s="7" t="n">
        <v>757</v>
      </c>
      <c r="E23" s="8" t="n">
        <v>27</v>
      </c>
      <c r="F23" s="9" t="n">
        <v>58.8</v>
      </c>
      <c r="G23" s="9" t="n">
        <v>38.6</v>
      </c>
      <c r="H23" s="9" t="n">
        <v>0</v>
      </c>
      <c r="I23" s="8" t="n">
        <v>33.4</v>
      </c>
      <c r="J23" s="7" t="inlineStr"/>
      <c r="K23" s="9" t="inlineStr"/>
      <c r="L23" s="7" t="inlineStr"/>
    </row>
    <row r="24">
      <c r="A24" s="10" t="n">
        <v>20</v>
      </c>
      <c r="B24" s="11" t="inlineStr">
        <is>
          <t>3.0 Management</t>
        </is>
      </c>
      <c r="C24" s="15" t="inlineStr">
        <is>
          <t>Tier 2 (25-99/day)</t>
        </is>
      </c>
      <c r="D24" s="12" t="n">
        <v>755</v>
      </c>
      <c r="E24" s="13" t="n">
        <v>27</v>
      </c>
      <c r="F24" s="14" t="n">
        <v>41.1</v>
      </c>
      <c r="G24" s="14" t="n">
        <v>57.2</v>
      </c>
      <c r="H24" s="14" t="n">
        <v>0</v>
      </c>
      <c r="I24" s="13" t="n">
        <v>23.2</v>
      </c>
      <c r="J24" s="12" t="inlineStr"/>
      <c r="K24" s="14" t="inlineStr"/>
      <c r="L24" s="12" t="inlineStr"/>
    </row>
    <row r="25">
      <c r="A25" s="4" t="n">
        <v>21</v>
      </c>
      <c r="B25" s="5" t="inlineStr">
        <is>
          <t>Park Pointe Management Services</t>
        </is>
      </c>
      <c r="C25" s="16" t="inlineStr">
        <is>
          <t>Tier 3 (5-24/day)</t>
        </is>
      </c>
      <c r="D25" s="7" t="n">
        <v>671</v>
      </c>
      <c r="E25" s="8" t="n">
        <v>24</v>
      </c>
      <c r="F25" s="9" t="n">
        <v>40.5</v>
      </c>
      <c r="G25" s="9" t="n">
        <v>58</v>
      </c>
      <c r="H25" s="9" t="n">
        <v>0</v>
      </c>
      <c r="I25" s="8" t="n">
        <v>20.4</v>
      </c>
      <c r="J25" s="7" t="inlineStr"/>
      <c r="K25" s="9" t="inlineStr"/>
      <c r="L25" s="7" t="inlineStr"/>
    </row>
    <row r="26">
      <c r="A26" s="10" t="n">
        <v>22</v>
      </c>
      <c r="B26" s="11" t="inlineStr">
        <is>
          <t>Alluvia</t>
        </is>
      </c>
      <c r="C26" s="16" t="inlineStr">
        <is>
          <t>Tier 3 (5-24/day)</t>
        </is>
      </c>
      <c r="D26" s="12" t="n">
        <v>653</v>
      </c>
      <c r="E26" s="13" t="n">
        <v>23.3</v>
      </c>
      <c r="F26" s="14" t="n">
        <v>37.4</v>
      </c>
      <c r="G26" s="14" t="n">
        <v>58.8</v>
      </c>
      <c r="H26" s="14" t="n">
        <v>0</v>
      </c>
      <c r="I26" s="13" t="n">
        <v>18.3</v>
      </c>
      <c r="J26" s="12" t="inlineStr"/>
      <c r="K26" s="14" t="inlineStr"/>
      <c r="L26" s="12" t="inlineStr"/>
    </row>
    <row r="27">
      <c r="A27" s="4" t="n">
        <v>23</v>
      </c>
      <c r="B27" s="5" t="inlineStr">
        <is>
          <t>AMP HOA</t>
        </is>
      </c>
      <c r="C27" s="16" t="inlineStr">
        <is>
          <t>Tier 3 (5-24/day)</t>
        </is>
      </c>
      <c r="D27" s="7" t="n">
        <v>653</v>
      </c>
      <c r="E27" s="8" t="n">
        <v>23.3</v>
      </c>
      <c r="F27" s="9" t="n">
        <v>59.6</v>
      </c>
      <c r="G27" s="9" t="n">
        <v>37.7</v>
      </c>
      <c r="H27" s="9" t="n">
        <v>0</v>
      </c>
      <c r="I27" s="8" t="n">
        <v>29.2</v>
      </c>
      <c r="J27" s="7" t="inlineStr"/>
      <c r="K27" s="9" t="inlineStr"/>
      <c r="L27" s="7" t="inlineStr"/>
    </row>
    <row r="28">
      <c r="A28" s="10" t="n">
        <v>24</v>
      </c>
      <c r="B28" s="11" t="inlineStr">
        <is>
          <t>Atmos Living Management Group</t>
        </is>
      </c>
      <c r="C28" s="16" t="inlineStr">
        <is>
          <t>Tier 3 (5-24/day)</t>
        </is>
      </c>
      <c r="D28" s="12" t="n">
        <v>616</v>
      </c>
      <c r="E28" s="13" t="n">
        <v>22</v>
      </c>
      <c r="F28" s="14" t="n">
        <v>48</v>
      </c>
      <c r="G28" s="14" t="n">
        <v>47.6</v>
      </c>
      <c r="H28" s="14" t="n">
        <v>0</v>
      </c>
      <c r="I28" s="13" t="n">
        <v>22.2</v>
      </c>
      <c r="J28" s="12" t="inlineStr"/>
      <c r="K28" s="14" t="inlineStr"/>
      <c r="L28" s="12" t="inlineStr"/>
    </row>
    <row r="29">
      <c r="A29" s="4" t="n">
        <v>25</v>
      </c>
      <c r="B29" s="5" t="inlineStr">
        <is>
          <t>ACE</t>
        </is>
      </c>
      <c r="C29" s="16" t="inlineStr">
        <is>
          <t>Tier 3 (5-24/day)</t>
        </is>
      </c>
      <c r="D29" s="7" t="n">
        <v>548</v>
      </c>
      <c r="E29" s="8" t="n">
        <v>19.6</v>
      </c>
      <c r="F29" s="9" t="n">
        <v>44.5</v>
      </c>
      <c r="G29" s="9" t="n">
        <v>53.1</v>
      </c>
      <c r="H29" s="9" t="n">
        <v>0</v>
      </c>
      <c r="I29" s="8" t="n">
        <v>18.3</v>
      </c>
      <c r="J29" s="7" t="inlineStr"/>
      <c r="K29" s="9" t="inlineStr"/>
      <c r="L29" s="7" t="inlineStr"/>
    </row>
    <row r="30">
      <c r="A30" s="10" t="n">
        <v>26</v>
      </c>
      <c r="B30" s="11" t="inlineStr">
        <is>
          <t>ACE Property Management, Inc.</t>
        </is>
      </c>
      <c r="C30" s="16" t="inlineStr">
        <is>
          <t>Tier 3 (5-24/day)</t>
        </is>
      </c>
      <c r="D30" s="12" t="n">
        <v>448</v>
      </c>
      <c r="E30" s="13" t="n">
        <v>16</v>
      </c>
      <c r="F30" s="14" t="n">
        <v>65.8</v>
      </c>
      <c r="G30" s="14" t="n">
        <v>32.8</v>
      </c>
      <c r="H30" s="14" t="n">
        <v>0</v>
      </c>
      <c r="I30" s="13" t="n">
        <v>22.1</v>
      </c>
      <c r="J30" s="12" t="inlineStr"/>
      <c r="K30" s="14" t="inlineStr"/>
      <c r="L30" s="12" t="inlineStr"/>
    </row>
    <row r="31">
      <c r="A31" s="4" t="n">
        <v>27</v>
      </c>
      <c r="B31" s="5" t="inlineStr">
        <is>
          <t>Compass Rose of North Texas</t>
        </is>
      </c>
      <c r="C31" s="16" t="inlineStr">
        <is>
          <t>Tier 3 (5-24/day)</t>
        </is>
      </c>
      <c r="D31" s="7" t="n">
        <v>398</v>
      </c>
      <c r="E31" s="8" t="n">
        <v>14.2</v>
      </c>
      <c r="F31" s="9" t="n">
        <v>44.7</v>
      </c>
      <c r="G31" s="9" t="n">
        <v>53.3</v>
      </c>
      <c r="H31" s="9" t="n">
        <v>0</v>
      </c>
      <c r="I31" s="8" t="n">
        <v>13.3</v>
      </c>
      <c r="J31" s="7" t="inlineStr"/>
      <c r="K31" s="9" t="inlineStr"/>
      <c r="L31" s="7" t="inlineStr"/>
    </row>
    <row r="32">
      <c r="A32" s="10" t="n">
        <v>28</v>
      </c>
      <c r="B32" s="11" t="inlineStr">
        <is>
          <t>Blue Door Realty</t>
        </is>
      </c>
      <c r="C32" s="16" t="inlineStr">
        <is>
          <t>Tier 3 (5-24/day)</t>
        </is>
      </c>
      <c r="D32" s="12" t="n">
        <v>346</v>
      </c>
      <c r="E32" s="13" t="n">
        <v>12.4</v>
      </c>
      <c r="F32" s="14" t="n">
        <v>38.4</v>
      </c>
      <c r="G32" s="14" t="n">
        <v>60.1</v>
      </c>
      <c r="H32" s="14" t="n">
        <v>0</v>
      </c>
      <c r="I32" s="13" t="n">
        <v>10</v>
      </c>
      <c r="J32" s="12" t="inlineStr"/>
      <c r="K32" s="14" t="inlineStr"/>
      <c r="L32" s="12" t="inlineStr"/>
    </row>
    <row r="33">
      <c r="A33" s="4" t="n">
        <v>29</v>
      </c>
      <c r="B33" s="5" t="inlineStr">
        <is>
          <t>New Bedford Management Corp</t>
        </is>
      </c>
      <c r="C33" s="16" t="inlineStr">
        <is>
          <t>Tier 3 (5-24/day)</t>
        </is>
      </c>
      <c r="D33" s="7" t="n">
        <v>346</v>
      </c>
      <c r="E33" s="8" t="n">
        <v>12.4</v>
      </c>
      <c r="F33" s="9" t="n">
        <v>34.7</v>
      </c>
      <c r="G33" s="9" t="n">
        <v>61</v>
      </c>
      <c r="H33" s="9" t="n">
        <v>0</v>
      </c>
      <c r="I33" s="8" t="n">
        <v>9</v>
      </c>
      <c r="J33" s="7" t="inlineStr"/>
      <c r="K33" s="9" t="inlineStr"/>
      <c r="L33" s="7" t="inlineStr"/>
    </row>
    <row r="34">
      <c r="A34" s="10" t="n">
        <v>30</v>
      </c>
      <c r="B34" s="11" t="inlineStr">
        <is>
          <t>Aspire Community Management</t>
        </is>
      </c>
      <c r="C34" s="16" t="inlineStr">
        <is>
          <t>Tier 3 (5-24/day)</t>
        </is>
      </c>
      <c r="D34" s="12" t="n">
        <v>330</v>
      </c>
      <c r="E34" s="13" t="n">
        <v>11.8</v>
      </c>
      <c r="F34" s="14" t="n">
        <v>30.3</v>
      </c>
      <c r="G34" s="14" t="n">
        <v>65.09999999999999</v>
      </c>
      <c r="H34" s="14" t="n">
        <v>0</v>
      </c>
      <c r="I34" s="13" t="n">
        <v>7.5</v>
      </c>
      <c r="J34" s="12" t="inlineStr"/>
      <c r="K34" s="14" t="inlineStr"/>
      <c r="L34" s="12" t="inlineStr"/>
    </row>
    <row r="35">
      <c r="A35" s="4" t="n">
        <v>31</v>
      </c>
      <c r="B35" s="5" t="inlineStr">
        <is>
          <t>Mauzy Management</t>
        </is>
      </c>
      <c r="C35" s="16" t="inlineStr">
        <is>
          <t>Tier 3 (5-24/day)</t>
        </is>
      </c>
      <c r="D35" s="7" t="n">
        <v>284</v>
      </c>
      <c r="E35" s="8" t="n">
        <v>10.1</v>
      </c>
      <c r="F35" s="9" t="n">
        <v>47.2</v>
      </c>
      <c r="G35" s="9" t="n">
        <v>50.7</v>
      </c>
      <c r="H35" s="9" t="n">
        <v>0</v>
      </c>
      <c r="I35" s="8" t="n">
        <v>10.1</v>
      </c>
      <c r="J35" s="7" t="inlineStr"/>
      <c r="K35" s="9" t="inlineStr"/>
      <c r="L35" s="7" t="inlineStr"/>
    </row>
    <row r="36">
      <c r="A36" s="10" t="n">
        <v>32</v>
      </c>
      <c r="B36" s="11" t="inlineStr">
        <is>
          <t>Lang Management Company</t>
        </is>
      </c>
      <c r="C36" s="16" t="inlineStr">
        <is>
          <t>Tier 3 (5-24/day)</t>
        </is>
      </c>
      <c r="D36" s="12" t="n">
        <v>250</v>
      </c>
      <c r="E36" s="13" t="n">
        <v>8.9</v>
      </c>
      <c r="F36" s="14" t="n">
        <v>47.2</v>
      </c>
      <c r="G36" s="14" t="n">
        <v>34.4</v>
      </c>
      <c r="H36" s="14" t="n">
        <v>0</v>
      </c>
      <c r="I36" s="13" t="n">
        <v>8.800000000000001</v>
      </c>
      <c r="J36" s="12" t="inlineStr"/>
      <c r="K36" s="14" t="inlineStr"/>
      <c r="L36" s="12" t="inlineStr"/>
    </row>
    <row r="37">
      <c r="A37" s="4" t="n">
        <v>33</v>
      </c>
      <c r="B37" s="5" t="inlineStr">
        <is>
          <t>Preferred Communities</t>
        </is>
      </c>
      <c r="C37" s="16" t="inlineStr">
        <is>
          <t>Tier 3 (5-24/day)</t>
        </is>
      </c>
      <c r="D37" s="7" t="n">
        <v>238</v>
      </c>
      <c r="E37" s="8" t="n">
        <v>8.5</v>
      </c>
      <c r="F37" s="9" t="n">
        <v>37.4</v>
      </c>
      <c r="G37" s="9" t="n">
        <v>59.7</v>
      </c>
      <c r="H37" s="9" t="n">
        <v>0</v>
      </c>
      <c r="I37" s="8" t="n">
        <v>6.7</v>
      </c>
      <c r="J37" s="7" t="inlineStr"/>
      <c r="K37" s="9" t="inlineStr"/>
      <c r="L37" s="7" t="inlineStr"/>
    </row>
    <row r="38">
      <c r="A38" s="10" t="n">
        <v>34</v>
      </c>
      <c r="B38" s="11" t="inlineStr">
        <is>
          <t>VirtualHOA.com</t>
        </is>
      </c>
      <c r="C38" s="16" t="inlineStr">
        <is>
          <t>Tier 3 (5-24/day)</t>
        </is>
      </c>
      <c r="D38" s="12" t="n">
        <v>233</v>
      </c>
      <c r="E38" s="13" t="n">
        <v>8.300000000000001</v>
      </c>
      <c r="F38" s="14" t="n">
        <v>28.3</v>
      </c>
      <c r="G38" s="14" t="n">
        <v>69.5</v>
      </c>
      <c r="H38" s="14" t="n">
        <v>0</v>
      </c>
      <c r="I38" s="13" t="n">
        <v>5</v>
      </c>
      <c r="J38" s="12" t="inlineStr"/>
      <c r="K38" s="14" t="inlineStr"/>
      <c r="L38" s="12" t="inlineStr"/>
    </row>
    <row r="39">
      <c r="A39" s="4" t="n">
        <v>35</v>
      </c>
      <c r="B39" s="5" t="inlineStr">
        <is>
          <t xml:space="preserve">Walston Management </t>
        </is>
      </c>
      <c r="C39" s="16" t="inlineStr">
        <is>
          <t>Tier 3 (5-24/day)</t>
        </is>
      </c>
      <c r="D39" s="7" t="n">
        <v>213</v>
      </c>
      <c r="E39" s="8" t="n">
        <v>7.6</v>
      </c>
      <c r="F39" s="9" t="n">
        <v>43.7</v>
      </c>
      <c r="G39" s="9" t="n">
        <v>53</v>
      </c>
      <c r="H39" s="9" t="n">
        <v>0</v>
      </c>
      <c r="I39" s="8" t="n">
        <v>7</v>
      </c>
      <c r="J39" s="7" t="inlineStr"/>
      <c r="K39" s="9" t="inlineStr"/>
      <c r="L39" s="7" t="inlineStr"/>
    </row>
    <row r="40">
      <c r="A40" s="10" t="n">
        <v>36</v>
      </c>
      <c r="B40" s="11" t="inlineStr">
        <is>
          <t>HOAi Management Company</t>
        </is>
      </c>
      <c r="C40" s="16" t="inlineStr">
        <is>
          <t>Tier 3 (5-24/day)</t>
        </is>
      </c>
      <c r="D40" s="12" t="n">
        <v>176</v>
      </c>
      <c r="E40" s="13" t="n">
        <v>6.3</v>
      </c>
      <c r="F40" s="14" t="n">
        <v>61.4</v>
      </c>
      <c r="G40" s="14" t="n">
        <v>29</v>
      </c>
      <c r="H40" s="14" t="n">
        <v>0</v>
      </c>
      <c r="I40" s="13" t="n">
        <v>8.1</v>
      </c>
      <c r="J40" s="12" t="inlineStr"/>
      <c r="K40" s="14" t="inlineStr"/>
      <c r="L40" s="12" t="inlineStr"/>
    </row>
    <row r="41">
      <c r="A41" s="4" t="n">
        <v>37</v>
      </c>
      <c r="B41" s="5" t="inlineStr">
        <is>
          <t>IndygoCAM</t>
        </is>
      </c>
      <c r="C41" s="16" t="inlineStr">
        <is>
          <t>Tier 3 (5-24/day)</t>
        </is>
      </c>
      <c r="D41" s="7" t="n">
        <v>170</v>
      </c>
      <c r="E41" s="8" t="n">
        <v>6.1</v>
      </c>
      <c r="F41" s="9" t="n">
        <v>47.6</v>
      </c>
      <c r="G41" s="9" t="n">
        <v>48.8</v>
      </c>
      <c r="H41" s="9" t="n">
        <v>0</v>
      </c>
      <c r="I41" s="8" t="n">
        <v>6.1</v>
      </c>
      <c r="J41" s="7" t="inlineStr"/>
      <c r="K41" s="9" t="inlineStr"/>
      <c r="L41" s="7" t="inlineStr"/>
    </row>
    <row r="42">
      <c r="A42" s="10" t="n">
        <v>38</v>
      </c>
      <c r="B42" s="11" t="inlineStr">
        <is>
          <t>Action Community Management</t>
        </is>
      </c>
      <c r="C42" s="17" t="inlineStr">
        <is>
          <t>Tier 4 (&lt;5/day)</t>
        </is>
      </c>
      <c r="D42" s="12" t="n">
        <v>125</v>
      </c>
      <c r="E42" s="13" t="n">
        <v>4.5</v>
      </c>
      <c r="F42" s="14" t="n">
        <v>44.8</v>
      </c>
      <c r="G42" s="14" t="n">
        <v>52</v>
      </c>
      <c r="H42" s="14" t="n">
        <v>0</v>
      </c>
      <c r="I42" s="13" t="n">
        <v>4.2</v>
      </c>
      <c r="J42" s="12" t="inlineStr"/>
      <c r="K42" s="14" t="inlineStr"/>
      <c r="L42" s="12" t="inlineStr"/>
    </row>
    <row r="43">
      <c r="A43" s="4" t="n">
        <v>39</v>
      </c>
      <c r="B43" s="5" t="inlineStr">
        <is>
          <t>AER Community Management</t>
        </is>
      </c>
      <c r="C43" s="17" t="inlineStr">
        <is>
          <t>Tier 4 (&lt;5/day)</t>
        </is>
      </c>
      <c r="D43" s="7" t="n">
        <v>91</v>
      </c>
      <c r="E43" s="8" t="n">
        <v>3.2</v>
      </c>
      <c r="F43" s="9" t="n">
        <v>54.9</v>
      </c>
      <c r="G43" s="9" t="n">
        <v>38.5</v>
      </c>
      <c r="H43" s="9" t="n">
        <v>0</v>
      </c>
      <c r="I43" s="8" t="n">
        <v>3.8</v>
      </c>
      <c r="J43" s="7" t="inlineStr"/>
      <c r="K43" s="9" t="inlineStr"/>
      <c r="L43" s="7" t="inlineStr"/>
    </row>
    <row r="44">
      <c r="A44" s="10" t="n">
        <v>40</v>
      </c>
      <c r="B44" s="11" t="inlineStr">
        <is>
          <t>Unicorn Management Company</t>
        </is>
      </c>
      <c r="C44" s="17" t="inlineStr">
        <is>
          <t>Tier 4 (&lt;5/day)</t>
        </is>
      </c>
      <c r="D44" s="12" t="n">
        <v>88</v>
      </c>
      <c r="E44" s="13" t="n">
        <v>3.1</v>
      </c>
      <c r="F44" s="14" t="n">
        <v>92</v>
      </c>
      <c r="G44" s="14" t="n">
        <v>3.4</v>
      </c>
      <c r="H44" s="14" t="n">
        <v>0</v>
      </c>
      <c r="I44" s="13" t="n">
        <v>6.1</v>
      </c>
      <c r="J44" s="12" t="inlineStr"/>
      <c r="K44" s="14" t="inlineStr"/>
      <c r="L44" s="12" t="inlineStr"/>
    </row>
    <row r="45">
      <c r="A45" s="4" t="n">
        <v>41</v>
      </c>
      <c r="B45" s="5" t="inlineStr">
        <is>
          <t>Eclipse Community Management</t>
        </is>
      </c>
      <c r="C45" s="17" t="inlineStr">
        <is>
          <t>Tier 4 (&lt;5/day)</t>
        </is>
      </c>
      <c r="D45" s="7" t="n">
        <v>86</v>
      </c>
      <c r="E45" s="8" t="n">
        <v>3.1</v>
      </c>
      <c r="F45" s="9" t="n">
        <v>53.5</v>
      </c>
      <c r="G45" s="9" t="n">
        <v>39.5</v>
      </c>
      <c r="H45" s="9" t="n">
        <v>0</v>
      </c>
      <c r="I45" s="8" t="n">
        <v>3.5</v>
      </c>
      <c r="J45" s="7" t="inlineStr"/>
      <c r="K45" s="9" t="inlineStr"/>
      <c r="L45" s="7" t="inlineStr"/>
    </row>
    <row r="46">
      <c r="A46" s="10" t="n">
        <v>42</v>
      </c>
      <c r="B46" s="11" t="inlineStr">
        <is>
          <t>Property Management Services of Maine</t>
        </is>
      </c>
      <c r="C46" s="17" t="inlineStr">
        <is>
          <t>Tier 4 (&lt;5/day)</t>
        </is>
      </c>
      <c r="D46" s="12" t="n">
        <v>75</v>
      </c>
      <c r="E46" s="13" t="n">
        <v>2.7</v>
      </c>
      <c r="F46" s="14" t="n">
        <v>44</v>
      </c>
      <c r="G46" s="14" t="n">
        <v>56</v>
      </c>
      <c r="H46" s="14" t="n">
        <v>0</v>
      </c>
      <c r="I46" s="13" t="n">
        <v>2.5</v>
      </c>
      <c r="J46" s="12" t="inlineStr"/>
      <c r="K46" s="14" t="inlineStr"/>
      <c r="L46" s="12" t="inlineStr"/>
    </row>
    <row r="47">
      <c r="A47" s="4" t="n">
        <v>43</v>
      </c>
      <c r="B47" s="5" t="inlineStr">
        <is>
          <t xml:space="preserve">Alliance HOA Management LLC </t>
        </is>
      </c>
      <c r="C47" s="17" t="inlineStr">
        <is>
          <t>Tier 4 (&lt;5/day)</t>
        </is>
      </c>
      <c r="D47" s="7" t="n">
        <v>74</v>
      </c>
      <c r="E47" s="8" t="n">
        <v>2.6</v>
      </c>
      <c r="F47" s="9" t="n">
        <v>77</v>
      </c>
      <c r="G47" s="9" t="n">
        <v>16.2</v>
      </c>
      <c r="H47" s="9" t="n">
        <v>0</v>
      </c>
      <c r="I47" s="8" t="n">
        <v>4.3</v>
      </c>
      <c r="J47" s="7" t="inlineStr"/>
      <c r="K47" s="9" t="inlineStr"/>
      <c r="L47" s="7" t="inlineStr"/>
    </row>
    <row r="48">
      <c r="A48" s="10" t="n">
        <v>44</v>
      </c>
      <c r="B48" s="11" t="inlineStr">
        <is>
          <t>HOA Accounting Services, Inc.</t>
        </is>
      </c>
      <c r="C48" s="17" t="inlineStr">
        <is>
          <t>Tier 4 (&lt;5/day)</t>
        </is>
      </c>
      <c r="D48" s="12" t="n">
        <v>73</v>
      </c>
      <c r="E48" s="13" t="n">
        <v>2.6</v>
      </c>
      <c r="F48" s="14" t="n">
        <v>72.59999999999999</v>
      </c>
      <c r="G48" s="14" t="n">
        <v>26</v>
      </c>
      <c r="H48" s="14" t="n">
        <v>0</v>
      </c>
      <c r="I48" s="13" t="n">
        <v>4</v>
      </c>
      <c r="J48" s="12" t="inlineStr"/>
      <c r="K48" s="14" t="inlineStr"/>
      <c r="L48" s="12" t="inlineStr"/>
    </row>
    <row r="49">
      <c r="A49" s="4" t="n">
        <v>45</v>
      </c>
      <c r="B49" s="5" t="inlineStr">
        <is>
          <t>John P. Carroll Co., Inc.</t>
        </is>
      </c>
      <c r="C49" s="17" t="inlineStr">
        <is>
          <t>Tier 4 (&lt;5/day)</t>
        </is>
      </c>
      <c r="D49" s="7" t="n">
        <v>62</v>
      </c>
      <c r="E49" s="8" t="n">
        <v>2.2</v>
      </c>
      <c r="F49" s="9" t="n">
        <v>72.59999999999999</v>
      </c>
      <c r="G49" s="9" t="n">
        <v>24.2</v>
      </c>
      <c r="H49" s="9" t="n">
        <v>0</v>
      </c>
      <c r="I49" s="8" t="n">
        <v>3.4</v>
      </c>
      <c r="J49" s="7" t="inlineStr"/>
      <c r="K49" s="9" t="inlineStr"/>
      <c r="L49" s="7" t="inlineStr"/>
    </row>
    <row r="50">
      <c r="A50" s="10" t="n">
        <v>46</v>
      </c>
      <c r="B50" s="11" t="inlineStr">
        <is>
          <t>Advantage Management</t>
        </is>
      </c>
      <c r="C50" s="17" t="inlineStr">
        <is>
          <t>Tier 4 (&lt;5/day)</t>
        </is>
      </c>
      <c r="D50" s="12" t="n">
        <v>60</v>
      </c>
      <c r="E50" s="13" t="n">
        <v>2.1</v>
      </c>
      <c r="F50" s="14" t="n">
        <v>55</v>
      </c>
      <c r="G50" s="14" t="n">
        <v>28.3</v>
      </c>
      <c r="H50" s="14" t="n">
        <v>0</v>
      </c>
      <c r="I50" s="13" t="n">
        <v>2.5</v>
      </c>
      <c r="J50" s="12" t="inlineStr"/>
      <c r="K50" s="14" t="inlineStr"/>
      <c r="L50" s="12" t="inlineStr"/>
    </row>
    <row r="51">
      <c r="A51" s="4" t="n">
        <v>47</v>
      </c>
      <c r="B51" s="5" t="inlineStr">
        <is>
          <t>Community Management Specialists Inc</t>
        </is>
      </c>
      <c r="C51" s="17" t="inlineStr">
        <is>
          <t>Tier 4 (&lt;5/day)</t>
        </is>
      </c>
      <c r="D51" s="7" t="n">
        <v>53</v>
      </c>
      <c r="E51" s="8" t="n">
        <v>1.9</v>
      </c>
      <c r="F51" s="9" t="n">
        <v>30.2</v>
      </c>
      <c r="G51" s="9" t="n">
        <v>62.3</v>
      </c>
      <c r="H51" s="9" t="n">
        <v>0</v>
      </c>
      <c r="I51" s="8" t="n">
        <v>1.2</v>
      </c>
      <c r="J51" s="7" t="inlineStr"/>
      <c r="K51" s="9" t="inlineStr"/>
      <c r="L51" s="7" t="inlineStr"/>
    </row>
    <row r="52">
      <c r="A52" s="10" t="n">
        <v>48</v>
      </c>
      <c r="B52" s="11" t="inlineStr">
        <is>
          <t>EJF</t>
        </is>
      </c>
      <c r="C52" s="17" t="inlineStr">
        <is>
          <t>Tier 4 (&lt;5/day)</t>
        </is>
      </c>
      <c r="D52" s="12" t="n">
        <v>45</v>
      </c>
      <c r="E52" s="13" t="n">
        <v>1.6</v>
      </c>
      <c r="F52" s="14" t="n">
        <v>48.9</v>
      </c>
      <c r="G52" s="14" t="n">
        <v>46.7</v>
      </c>
      <c r="H52" s="14" t="n">
        <v>0</v>
      </c>
      <c r="I52" s="13" t="n">
        <v>1.6</v>
      </c>
      <c r="J52" s="12" t="inlineStr"/>
      <c r="K52" s="14" t="inlineStr"/>
      <c r="L52" s="12" t="inlineStr"/>
    </row>
    <row r="53">
      <c r="A53" s="4" t="n">
        <v>49</v>
      </c>
      <c r="B53" s="5" t="inlineStr">
        <is>
          <t>Centennial Consulting Group</t>
        </is>
      </c>
      <c r="C53" s="17" t="inlineStr">
        <is>
          <t>Tier 4 (&lt;5/day)</t>
        </is>
      </c>
      <c r="D53" s="7" t="n">
        <v>40</v>
      </c>
      <c r="E53" s="8" t="n">
        <v>1.4</v>
      </c>
      <c r="F53" s="9" t="n">
        <v>82.5</v>
      </c>
      <c r="G53" s="9" t="n">
        <v>17.5</v>
      </c>
      <c r="H53" s="9" t="n">
        <v>0</v>
      </c>
      <c r="I53" s="8" t="n">
        <v>2.5</v>
      </c>
      <c r="J53" s="7" t="inlineStr"/>
      <c r="K53" s="9" t="inlineStr"/>
      <c r="L53" s="7" t="inlineStr"/>
    </row>
    <row r="54">
      <c r="A54" s="10" t="n">
        <v>50</v>
      </c>
      <c r="B54" s="11" t="inlineStr">
        <is>
          <t>VMC (HOAi)</t>
        </is>
      </c>
      <c r="C54" s="17" t="inlineStr">
        <is>
          <t>Tier 4 (&lt;5/day)</t>
        </is>
      </c>
      <c r="D54" s="12" t="n">
        <v>40</v>
      </c>
      <c r="E54" s="13" t="n">
        <v>1.4</v>
      </c>
      <c r="F54" s="14" t="n">
        <v>87.5</v>
      </c>
      <c r="G54" s="14" t="n">
        <v>0</v>
      </c>
      <c r="H54" s="14" t="n">
        <v>0</v>
      </c>
      <c r="I54" s="13" t="n">
        <v>2.6</v>
      </c>
      <c r="J54" s="12" t="inlineStr"/>
      <c r="K54" s="14" t="inlineStr"/>
      <c r="L54" s="12" t="inlineStr"/>
    </row>
    <row r="55">
      <c r="A55" s="4" t="n">
        <v>51</v>
      </c>
      <c r="B55" s="5" t="inlineStr">
        <is>
          <t>Young Management Group, Inc.</t>
        </is>
      </c>
      <c r="C55" s="17" t="inlineStr">
        <is>
          <t>Tier 4 (&lt;5/day)</t>
        </is>
      </c>
      <c r="D55" s="7" t="n">
        <v>37</v>
      </c>
      <c r="E55" s="8" t="n">
        <v>1.3</v>
      </c>
      <c r="F55" s="9" t="n">
        <v>46</v>
      </c>
      <c r="G55" s="9" t="n">
        <v>54</v>
      </c>
      <c r="H55" s="9" t="n">
        <v>0</v>
      </c>
      <c r="I55" s="8" t="n">
        <v>1.3</v>
      </c>
      <c r="J55" s="7" t="inlineStr"/>
      <c r="K55" s="9" t="inlineStr"/>
      <c r="L55" s="7" t="inlineStr"/>
    </row>
    <row r="56">
      <c r="A56" s="10" t="n">
        <v>52</v>
      </c>
      <c r="B56" s="11" t="inlineStr">
        <is>
          <t>Gaughan Association Management</t>
        </is>
      </c>
      <c r="C56" s="17" t="inlineStr">
        <is>
          <t>Tier 4 (&lt;5/day)</t>
        </is>
      </c>
      <c r="D56" s="12" t="n">
        <v>17</v>
      </c>
      <c r="E56" s="13" t="n">
        <v>0.6</v>
      </c>
      <c r="F56" s="14" t="n">
        <v>1</v>
      </c>
      <c r="G56" s="14" t="n">
        <v>0</v>
      </c>
      <c r="H56" s="14" t="n">
        <v>0</v>
      </c>
      <c r="I56" s="13" t="n">
        <v>1.3</v>
      </c>
      <c r="J56" s="12" t="inlineStr"/>
      <c r="K56" s="14" t="inlineStr"/>
      <c r="L56" s="12" t="inlineStr"/>
    </row>
    <row r="57">
      <c r="A57" s="4" t="n">
        <v>53</v>
      </c>
      <c r="B57" s="5" t="inlineStr">
        <is>
          <t>New Vision Community Management</t>
        </is>
      </c>
      <c r="C57" s="17" t="inlineStr">
        <is>
          <t>Tier 4 (&lt;5/day)</t>
        </is>
      </c>
      <c r="D57" s="7" t="n">
        <v>14</v>
      </c>
      <c r="E57" s="8" t="n">
        <v>0.5</v>
      </c>
      <c r="F57" s="9" t="n">
        <v>92.90000000000001</v>
      </c>
      <c r="G57" s="9" t="n">
        <v>7.1</v>
      </c>
      <c r="H57" s="9" t="n">
        <v>0</v>
      </c>
      <c r="I57" s="8" t="n">
        <v>1</v>
      </c>
      <c r="J57" s="7" t="inlineStr"/>
      <c r="K57" s="9" t="inlineStr"/>
      <c r="L57" s="7" t="inlineStr"/>
    </row>
    <row r="58">
      <c r="A58" s="10" t="n">
        <v>54</v>
      </c>
      <c r="B58" s="11" t="inlineStr">
        <is>
          <t>Compass Management Professionals</t>
        </is>
      </c>
      <c r="C58" s="17" t="inlineStr">
        <is>
          <t>Tier 4 (&lt;5/day)</t>
        </is>
      </c>
      <c r="D58" s="12" t="n">
        <v>7</v>
      </c>
      <c r="E58" s="13" t="n">
        <v>0.2</v>
      </c>
      <c r="F58" s="14" t="n">
        <v>71.40000000000001</v>
      </c>
      <c r="G58" s="14" t="n">
        <v>28.6</v>
      </c>
      <c r="H58" s="14" t="n">
        <v>0</v>
      </c>
      <c r="I58" s="13" t="n">
        <v>0.4</v>
      </c>
      <c r="J58" s="12" t="inlineStr"/>
      <c r="K58" s="14" t="inlineStr"/>
      <c r="L58" s="12" t="inlineStr"/>
    </row>
    <row r="59">
      <c r="A59" s="4" t="n">
        <v>55</v>
      </c>
      <c r="B59" s="5" t="inlineStr">
        <is>
          <t>The HOA Company</t>
        </is>
      </c>
      <c r="C59" s="17" t="inlineStr">
        <is>
          <t>Tier 4 (&lt;5/day)</t>
        </is>
      </c>
      <c r="D59" s="7" t="n">
        <v>5</v>
      </c>
      <c r="E59" s="8" t="n">
        <v>0.2</v>
      </c>
      <c r="F59" s="9" t="n">
        <v>80</v>
      </c>
      <c r="G59" s="9" t="n">
        <v>20</v>
      </c>
      <c r="H59" s="9" t="n">
        <v>0</v>
      </c>
      <c r="I59" s="8" t="n">
        <v>0.3</v>
      </c>
      <c r="J59" s="7" t="inlineStr"/>
      <c r="K59" s="9" t="inlineStr"/>
      <c r="L59" s="7" t="inlineStr"/>
    </row>
    <row r="60">
      <c r="A60" s="10" t="n">
        <v>56</v>
      </c>
      <c r="B60" s="11" t="inlineStr">
        <is>
          <t>HOA Assist</t>
        </is>
      </c>
      <c r="C60" s="17" t="inlineStr">
        <is>
          <t>Tier 4 (&lt;5/day)</t>
        </is>
      </c>
      <c r="D60" s="12" t="n">
        <v>4</v>
      </c>
      <c r="E60" s="13" t="n">
        <v>0.1</v>
      </c>
      <c r="F60" s="14" t="n">
        <v>1</v>
      </c>
      <c r="G60" s="14" t="n">
        <v>0</v>
      </c>
      <c r="H60" s="14" t="n">
        <v>0</v>
      </c>
      <c r="I60" s="13" t="n">
        <v>0.3</v>
      </c>
      <c r="J60" s="12" t="inlineStr"/>
      <c r="K60" s="14" t="inlineStr"/>
      <c r="L60" s="12" t="inlineStr"/>
    </row>
    <row r="61">
      <c r="A61" s="4" t="n">
        <v>57</v>
      </c>
      <c r="B61" s="5" t="inlineStr">
        <is>
          <t>Kentuckiana</t>
        </is>
      </c>
      <c r="C61" s="17" t="inlineStr">
        <is>
          <t>Tier 4 (&lt;5/day)</t>
        </is>
      </c>
      <c r="D61" s="7" t="n">
        <v>2</v>
      </c>
      <c r="E61" s="8" t="n">
        <v>0.1</v>
      </c>
      <c r="F61" s="9" t="n">
        <v>50</v>
      </c>
      <c r="G61" s="9" t="n">
        <v>0</v>
      </c>
      <c r="H61" s="9" t="n">
        <v>0</v>
      </c>
      <c r="I61" s="8" t="n">
        <v>0.1</v>
      </c>
      <c r="J61" s="7" t="inlineStr"/>
      <c r="K61" s="9" t="inlineStr"/>
      <c r="L61" s="7" t="inlineStr"/>
    </row>
    <row r="62">
      <c r="A62" s="10" t="n">
        <v>58</v>
      </c>
      <c r="B62" s="11" t="inlineStr">
        <is>
          <t>Wilkin Management Group</t>
        </is>
      </c>
      <c r="C62" s="17" t="inlineStr">
        <is>
          <t>Tier 4 (&lt;5/day)</t>
        </is>
      </c>
      <c r="D62" s="12" t="n">
        <v>1</v>
      </c>
      <c r="E62" s="13" t="n">
        <v>0</v>
      </c>
      <c r="F62" s="14" t="n">
        <v>1</v>
      </c>
      <c r="G62" s="14" t="n">
        <v>0</v>
      </c>
      <c r="H62" s="14" t="n">
        <v>0</v>
      </c>
      <c r="I62" s="13" t="n">
        <v>0.1</v>
      </c>
      <c r="J62" s="12" t="inlineStr"/>
      <c r="K62" s="14" t="inlineStr"/>
      <c r="L62" s="12" t="inlineStr"/>
    </row>
    <row r="63">
      <c r="A63" s="4" t="n">
        <v>59</v>
      </c>
      <c r="B63" s="5" t="inlineStr">
        <is>
          <t>Mountain Valley Property Management</t>
        </is>
      </c>
      <c r="C63" s="17" t="inlineStr">
        <is>
          <t>Tier 4 (&lt;5/day)</t>
        </is>
      </c>
      <c r="D63" s="7" t="n">
        <v>1</v>
      </c>
      <c r="E63" s="8" t="n">
        <v>0</v>
      </c>
      <c r="F63" s="9" t="n">
        <v>1</v>
      </c>
      <c r="G63" s="9" t="n">
        <v>0</v>
      </c>
      <c r="H63" s="9" t="n">
        <v>0</v>
      </c>
      <c r="I63" s="8" t="n">
        <v>0.1</v>
      </c>
      <c r="J63" s="7" t="inlineStr"/>
      <c r="K63" s="9" t="inlineStr"/>
      <c r="L63" s="7" t="inlineStr"/>
    </row>
    <row r="64">
      <c r="A64" s="18" t="n"/>
      <c r="B64" s="19" t="inlineStr">
        <is>
          <t>TOTAL</t>
        </is>
      </c>
      <c r="C64" s="18" t="n"/>
      <c r="D64" s="20" t="n">
        <v>45894</v>
      </c>
      <c r="E64" s="21" t="n">
        <v>1639.1</v>
      </c>
      <c r="F64" s="18" t="n"/>
      <c r="G64" s="18" t="n"/>
      <c r="H64" s="18" t="n"/>
      <c r="I64" s="21" t="n">
        <v>1493.9</v>
      </c>
      <c r="J64" s="18" t="n"/>
      <c r="K64" s="18" t="n"/>
      <c r="L64" s="18" t="n"/>
    </row>
  </sheetData>
  <autoFilter ref="A4:L63"/>
  <mergeCells count="2">
    <mergeCell ref="A2:L2"/>
    <mergeCell ref="A1:L1"/>
  </mergeCells>
  <pageMargins left="0.75" right="0.75" top="1" bottom="1" header="0.5" footer="0.5"/>
</worksheet>
</file>

<file path=xl/worksheets/sheet2.xml><?xml version="1.0" encoding="utf-8"?>
<worksheet xmlns="http://schemas.openxmlformats.org/spreadsheetml/2006/main">
  <sheetPr>
    <tabColor rgb="000891B2"/>
    <outlinePr summaryBelow="1" summaryRight="1"/>
    <pageSetUpPr/>
  </sheetPr>
  <dimension ref="A1:G14"/>
  <sheetViews>
    <sheetView workbookViewId="0">
      <selection activeCell="A1" sqref="A1"/>
    </sheetView>
  </sheetViews>
  <sheetFormatPr baseColWidth="8" defaultRowHeight="15"/>
  <cols>
    <col width="24" customWidth="1" min="1" max="1"/>
    <col width="14" customWidth="1" min="2" max="2"/>
    <col width="12" customWidth="1" min="3" max="3"/>
    <col width="14" customWidth="1" min="4" max="4"/>
    <col width="12" customWidth="1" min="5" max="5"/>
    <col width="16" customWidth="1" min="6" max="6"/>
    <col width="14" customWidth="1" min="7" max="7"/>
  </cols>
  <sheetData>
    <row r="1" ht="30" customHeight="1">
      <c r="A1" s="22" t="inlineStr">
        <is>
          <t>Volume Tier Summary — April MTD</t>
        </is>
      </c>
    </row>
    <row r="3">
      <c r="A3" s="3" t="inlineStr">
        <is>
          <t>Tier</t>
        </is>
      </c>
      <c r="B3" s="3" t="inlineStr">
        <is>
          <t>Companies</t>
        </is>
      </c>
      <c r="C3" s="3" t="inlineStr">
        <is>
          <t>% of Book</t>
        </is>
      </c>
      <c r="D3" s="3" t="inlineStr">
        <is>
          <t>MTD Calls</t>
        </is>
      </c>
      <c r="E3" s="3" t="inlineStr">
        <is>
          <t>% of Calls</t>
        </is>
      </c>
      <c r="F3" s="3" t="inlineStr">
        <is>
          <t>Avg/Day (Tier)</t>
        </is>
      </c>
      <c r="G3" s="3" t="inlineStr">
        <is>
          <t>Hours Saved</t>
        </is>
      </c>
    </row>
    <row r="4">
      <c r="A4" s="23" t="inlineStr">
        <is>
          <t>Tier 1 (100+/day)</t>
        </is>
      </c>
      <c r="B4" s="4" t="n">
        <v>4</v>
      </c>
      <c r="C4" s="9" t="n">
        <v>6.8</v>
      </c>
      <c r="D4" s="7" t="n">
        <v>17219</v>
      </c>
      <c r="E4" s="9" t="n">
        <v>37.5</v>
      </c>
      <c r="F4" s="8" t="n">
        <v>615</v>
      </c>
      <c r="G4" s="8" t="n">
        <v>577.8</v>
      </c>
    </row>
    <row r="5">
      <c r="A5" s="24" t="inlineStr">
        <is>
          <t>Tier 2 (25-99/day)</t>
        </is>
      </c>
      <c r="B5" s="4" t="n">
        <v>16</v>
      </c>
      <c r="C5" s="9" t="n">
        <v>27.1</v>
      </c>
      <c r="D5" s="7" t="n">
        <v>21102</v>
      </c>
      <c r="E5" s="9" t="n">
        <v>46</v>
      </c>
      <c r="F5" s="8" t="n">
        <v>753.6</v>
      </c>
      <c r="G5" s="8" t="n">
        <v>646.9</v>
      </c>
    </row>
    <row r="6">
      <c r="A6" s="25" t="inlineStr">
        <is>
          <t>Tier 3 (5-24/day)</t>
        </is>
      </c>
      <c r="B6" s="4" t="n">
        <v>17</v>
      </c>
      <c r="C6" s="9" t="n">
        <v>28.8</v>
      </c>
      <c r="D6" s="7" t="n">
        <v>6573</v>
      </c>
      <c r="E6" s="9" t="n">
        <v>14.3</v>
      </c>
      <c r="F6" s="8" t="n">
        <v>234.8</v>
      </c>
      <c r="G6" s="8" t="n">
        <v>222.1</v>
      </c>
    </row>
    <row r="7">
      <c r="A7" s="26" t="inlineStr">
        <is>
          <t>Tier 4 (&lt;5/day)</t>
        </is>
      </c>
      <c r="B7" s="4" t="n">
        <v>22</v>
      </c>
      <c r="C7" s="9" t="n">
        <v>37.3</v>
      </c>
      <c r="D7" s="7" t="n">
        <v>1000</v>
      </c>
      <c r="E7" s="9" t="n">
        <v>2.2</v>
      </c>
      <c r="F7" s="8" t="n">
        <v>35.7</v>
      </c>
      <c r="G7" s="8" t="n">
        <v>47.1</v>
      </c>
    </row>
    <row r="10">
      <c r="A10" s="27" t="inlineStr">
        <is>
          <t>Tier Membership</t>
        </is>
      </c>
    </row>
    <row r="11" ht="40" customHeight="1">
      <c r="A11" s="28" t="inlineStr">
        <is>
          <t>Tier 1 (100+/day)</t>
        </is>
      </c>
      <c r="B11" s="29" t="inlineStr">
        <is>
          <t>Alliant, Silverleaf Management, Juda, Eskew, &amp; Associates, Premier Community Association Management</t>
        </is>
      </c>
    </row>
    <row r="12" ht="40" customHeight="1">
      <c r="A12" s="30" t="inlineStr">
        <is>
          <t>Tier 2 (25-99/day)</t>
        </is>
      </c>
      <c r="B12" s="29" t="inlineStr">
        <is>
          <t>Timmons Properties, Inc., RCP Management Company, Keys Property Management, Management Plus, Premier, CMG, Interpacific Asset Management, FiveKeys Community Management, Sage Management LLC, Island Condo LLC, HOALiving, WPM Real Estate Management, Association Services of Washington, The Manor Association, ACCU, 3.0 Management</t>
        </is>
      </c>
    </row>
    <row r="13" ht="40" customHeight="1">
      <c r="A13" s="31" t="inlineStr">
        <is>
          <t>Tier 3 (5-24/day)</t>
        </is>
      </c>
      <c r="B13" s="29" t="inlineStr">
        <is>
          <t>Park Pointe Management Services, Alluvia, AMP HOA, Atmos Living Management Group, ACE, ACE Property Management, Inc., Compass Rose of North Texas, Blue Door Realty, New Bedford Management Corp, Aspire Community Management, Mauzy Management, Lang Management Company, Preferred Communities, VirtualHOA.com, Walston Management , HOAi Management Company, IndygoCAM</t>
        </is>
      </c>
    </row>
    <row r="14" ht="40" customHeight="1">
      <c r="A14" s="32" t="inlineStr">
        <is>
          <t>Tier 4 (&lt;5/day)</t>
        </is>
      </c>
      <c r="B14" s="29" t="inlineStr">
        <is>
          <t>Action Community Management, AER Community Management, Unicorn Management Company, Eclipse Community Management, Property Management Services of Maine, Alliance HOA Management LLC , HOA Accounting Services, Inc., John P. Carroll Co., Inc., Advantage Management, Community Management Specialists Inc, EJF, Centennial Consulting Group, VMC (HOAi), Young Management Group, Inc., Gaughan Association Management, New Vision Community Management, Compass Management Professionals, The HOA Company, HOA Assist, Kentuckiana, Wilkin Management Group, Mountain Valley Property Management</t>
        </is>
      </c>
    </row>
  </sheetData>
  <mergeCells count="5">
    <mergeCell ref="A1:G1"/>
    <mergeCell ref="B14:G14"/>
    <mergeCell ref="B12:G12"/>
    <mergeCell ref="B13:G13"/>
    <mergeCell ref="B11:G11"/>
  </mergeCells>
  <pageMargins left="0.75" right="0.75" top="1" bottom="1" header="0.5" footer="0.5"/>
</worksheet>
</file>

<file path=xl/worksheets/sheet3.xml><?xml version="1.0" encoding="utf-8"?>
<worksheet xmlns="http://schemas.openxmlformats.org/spreadsheetml/2006/main">
  <sheetPr>
    <tabColor rgb="00059669"/>
    <outlinePr summaryBelow="1" summaryRight="1"/>
    <pageSetUpPr/>
  </sheetPr>
  <dimension ref="A1:C23"/>
  <sheetViews>
    <sheetView workbookViewId="0">
      <selection activeCell="A1" sqref="A1"/>
    </sheetView>
  </sheetViews>
  <sheetFormatPr baseColWidth="8" defaultRowHeight="15"/>
  <cols>
    <col width="42" customWidth="1" min="1" max="1"/>
    <col width="16" customWidth="1" min="2" max="2"/>
    <col width="12" customWidth="1" min="3" max="3"/>
  </cols>
  <sheetData>
    <row r="1">
      <c r="A1" s="22" t="inlineStr">
        <is>
          <t>Top 20 Companies by Avg Daily Calls — April MTD</t>
        </is>
      </c>
    </row>
    <row r="3">
      <c r="A3" s="3" t="inlineStr">
        <is>
          <t>Company</t>
        </is>
      </c>
      <c r="B3" s="3" t="inlineStr">
        <is>
          <t>Avg Calls/Day</t>
        </is>
      </c>
      <c r="C3" s="3" t="inlineStr">
        <is>
          <t>MTD Calls</t>
        </is>
      </c>
    </row>
    <row r="4">
      <c r="A4" s="5" t="inlineStr">
        <is>
          <t>Alliant</t>
        </is>
      </c>
      <c r="B4" s="8" t="n">
        <v>236.3</v>
      </c>
      <c r="C4" s="7" t="n">
        <v>6616</v>
      </c>
    </row>
    <row r="5">
      <c r="A5" s="5" t="inlineStr">
        <is>
          <t>Silverleaf Management</t>
        </is>
      </c>
      <c r="B5" s="8" t="n">
        <v>130.8</v>
      </c>
      <c r="C5" s="7" t="n">
        <v>3661</v>
      </c>
    </row>
    <row r="6">
      <c r="A6" s="5" t="inlineStr">
        <is>
          <t>Juda, Eskew, &amp; Associates</t>
        </is>
      </c>
      <c r="B6" s="8" t="n">
        <v>129.9</v>
      </c>
      <c r="C6" s="7" t="n">
        <v>3638</v>
      </c>
    </row>
    <row r="7">
      <c r="A7" s="5" t="inlineStr">
        <is>
          <t>Premier Community Association Management</t>
        </is>
      </c>
      <c r="B7" s="8" t="n">
        <v>118</v>
      </c>
      <c r="C7" s="7" t="n">
        <v>3304</v>
      </c>
    </row>
    <row r="8">
      <c r="A8" s="5" t="inlineStr">
        <is>
          <t>Timmons Properties, Inc.</t>
        </is>
      </c>
      <c r="B8" s="8" t="n">
        <v>88.7</v>
      </c>
      <c r="C8" s="7" t="n">
        <v>2483</v>
      </c>
    </row>
    <row r="9">
      <c r="A9" s="5" t="inlineStr">
        <is>
          <t>RCP Management Company</t>
        </is>
      </c>
      <c r="B9" s="8" t="n">
        <v>69.59999999999999</v>
      </c>
      <c r="C9" s="7" t="n">
        <v>1949</v>
      </c>
    </row>
    <row r="10">
      <c r="A10" s="5" t="inlineStr">
        <is>
          <t>Keys Property Management</t>
        </is>
      </c>
      <c r="B10" s="8" t="n">
        <v>60.3</v>
      </c>
      <c r="C10" s="7" t="n">
        <v>1689</v>
      </c>
    </row>
    <row r="11">
      <c r="A11" s="5" t="inlineStr">
        <is>
          <t>Management Plus</t>
        </is>
      </c>
      <c r="B11" s="8" t="n">
        <v>60.2</v>
      </c>
      <c r="C11" s="7" t="n">
        <v>1686</v>
      </c>
    </row>
    <row r="12">
      <c r="A12" s="5" t="inlineStr">
        <is>
          <t>Premier</t>
        </is>
      </c>
      <c r="B12" s="8" t="n">
        <v>56.9</v>
      </c>
      <c r="C12" s="7" t="n">
        <v>1593</v>
      </c>
    </row>
    <row r="13">
      <c r="A13" s="5" t="inlineStr">
        <is>
          <t>CMG</t>
        </is>
      </c>
      <c r="B13" s="8" t="n">
        <v>46.1</v>
      </c>
      <c r="C13" s="7" t="n">
        <v>1291</v>
      </c>
    </row>
    <row r="14">
      <c r="A14" s="5" t="inlineStr">
        <is>
          <t>Interpacific Asset Management</t>
        </is>
      </c>
      <c r="B14" s="8" t="n">
        <v>46</v>
      </c>
      <c r="C14" s="7" t="n">
        <v>1289</v>
      </c>
    </row>
    <row r="15">
      <c r="A15" s="5" t="inlineStr">
        <is>
          <t>FiveKeys Community Management</t>
        </is>
      </c>
      <c r="B15" s="8" t="n">
        <v>45.2</v>
      </c>
      <c r="C15" s="7" t="n">
        <v>1267</v>
      </c>
    </row>
    <row r="16">
      <c r="A16" s="5" t="inlineStr">
        <is>
          <t>Sage Management LLC</t>
        </is>
      </c>
      <c r="B16" s="8" t="n">
        <v>44.8</v>
      </c>
      <c r="C16" s="7" t="n">
        <v>1253</v>
      </c>
    </row>
    <row r="17">
      <c r="A17" s="5" t="inlineStr">
        <is>
          <t>Island Condo LLC</t>
        </is>
      </c>
      <c r="B17" s="8" t="n">
        <v>42.7</v>
      </c>
      <c r="C17" s="7" t="n">
        <v>1195</v>
      </c>
    </row>
    <row r="18">
      <c r="A18" s="5" t="inlineStr">
        <is>
          <t>HOALiving</t>
        </is>
      </c>
      <c r="B18" s="8" t="n">
        <v>40.8</v>
      </c>
      <c r="C18" s="7" t="n">
        <v>1142</v>
      </c>
    </row>
    <row r="19">
      <c r="A19" s="5" t="inlineStr">
        <is>
          <t>WPM Real Estate Management</t>
        </is>
      </c>
      <c r="B19" s="8" t="n">
        <v>35.6</v>
      </c>
      <c r="C19" s="7" t="n">
        <v>997</v>
      </c>
    </row>
    <row r="20">
      <c r="A20" s="5" t="inlineStr">
        <is>
          <t>Association Services of Washington</t>
        </is>
      </c>
      <c r="B20" s="8" t="n">
        <v>31.6</v>
      </c>
      <c r="C20" s="7" t="n">
        <v>886</v>
      </c>
    </row>
    <row r="21">
      <c r="A21" s="5" t="inlineStr">
        <is>
          <t>The Manor Association</t>
        </is>
      </c>
      <c r="B21" s="8" t="n">
        <v>31.1</v>
      </c>
      <c r="C21" s="7" t="n">
        <v>870</v>
      </c>
    </row>
    <row r="22">
      <c r="A22" s="5" t="inlineStr">
        <is>
          <t>ACCU</t>
        </is>
      </c>
      <c r="B22" s="8" t="n">
        <v>27</v>
      </c>
      <c r="C22" s="7" t="n">
        <v>757</v>
      </c>
    </row>
    <row r="23">
      <c r="A23" s="5" t="inlineStr">
        <is>
          <t>3.0 Management</t>
        </is>
      </c>
      <c r="B23" s="8" t="n">
        <v>27</v>
      </c>
      <c r="C23" s="7" t="n">
        <v>755</v>
      </c>
    </row>
  </sheetData>
  <mergeCells count="1">
    <mergeCell ref="A1:C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2026-04-29T18:52:36Z</dcterms:created>
  <dcterms:modified xmlns:dcterms="http://purl.org/dc/terms/" xmlns:xsi="http://www.w3.org/2001/XMLSchema-instance" xsi:type="dcterms:W3CDTF">2026-04-29T18:52:36Z</dcterms:modified>
</cp:coreProperties>
</file>