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keGuerin\daily-reports\output\"/>
    </mc:Choice>
  </mc:AlternateContent>
  <xr:revisionPtr revIDLastSave="0" documentId="13_ncr:1_{9E8D1EED-3C87-480C-823E-F12A084BE007}" xr6:coauthVersionLast="47" xr6:coauthVersionMax="47" xr10:uidLastSave="{00000000-0000-0000-0000-000000000000}"/>
  <bookViews>
    <workbookView xWindow="57480" yWindow="1530" windowWidth="29040" windowHeight="15720" xr2:uid="{00000000-000D-0000-FFFF-FFFF00000000}"/>
  </bookViews>
  <sheets>
    <sheet name="Voice Us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1" l="1"/>
  <c r="E67" i="1"/>
  <c r="Q68" i="1"/>
  <c r="P68" i="1"/>
  <c r="O68" i="1"/>
  <c r="N68" i="1"/>
  <c r="M68" i="1"/>
  <c r="L68" i="1"/>
  <c r="K68" i="1"/>
  <c r="Q71" i="1"/>
  <c r="P71" i="1"/>
  <c r="O71" i="1"/>
  <c r="N71" i="1"/>
  <c r="M71" i="1"/>
  <c r="L71" i="1"/>
  <c r="K71" i="1"/>
  <c r="Q70" i="1"/>
  <c r="P70" i="1"/>
  <c r="O70" i="1"/>
  <c r="N70" i="1"/>
  <c r="M70" i="1"/>
  <c r="L70" i="1"/>
  <c r="K70" i="1"/>
  <c r="Q69" i="1"/>
  <c r="P69" i="1"/>
  <c r="O69" i="1"/>
  <c r="N69" i="1"/>
  <c r="M69" i="1"/>
  <c r="L69" i="1"/>
  <c r="K69" i="1"/>
  <c r="Q67" i="1"/>
  <c r="P67" i="1"/>
  <c r="O67" i="1"/>
  <c r="N67" i="1"/>
  <c r="M67" i="1"/>
  <c r="L67" i="1"/>
  <c r="K67" i="1"/>
  <c r="Q65" i="1"/>
  <c r="P65" i="1"/>
  <c r="O65" i="1"/>
  <c r="N65" i="1"/>
  <c r="M65" i="1"/>
  <c r="L65" i="1"/>
  <c r="K65" i="1"/>
  <c r="Q64" i="1"/>
  <c r="P64" i="1"/>
  <c r="O64" i="1"/>
  <c r="N64" i="1"/>
  <c r="M64" i="1"/>
  <c r="L64" i="1"/>
  <c r="K64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Q61" i="1"/>
  <c r="P61" i="1"/>
  <c r="O61" i="1"/>
  <c r="N61" i="1"/>
  <c r="M61" i="1"/>
  <c r="L61" i="1"/>
  <c r="K61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Q38" i="1"/>
  <c r="P38" i="1"/>
  <c r="O38" i="1"/>
  <c r="N38" i="1"/>
  <c r="M38" i="1"/>
  <c r="L38" i="1"/>
  <c r="K38" i="1"/>
  <c r="Q37" i="1"/>
  <c r="P37" i="1"/>
  <c r="O37" i="1"/>
  <c r="N37" i="1"/>
  <c r="M37" i="1"/>
  <c r="L37" i="1"/>
  <c r="K37" i="1"/>
  <c r="Q36" i="1"/>
  <c r="P36" i="1"/>
  <c r="O36" i="1"/>
  <c r="N36" i="1"/>
  <c r="M36" i="1"/>
  <c r="L36" i="1"/>
  <c r="K36" i="1"/>
  <c r="Q35" i="1"/>
  <c r="P35" i="1"/>
  <c r="O35" i="1"/>
  <c r="N35" i="1"/>
  <c r="M35" i="1"/>
  <c r="L35" i="1"/>
  <c r="K35" i="1"/>
  <c r="Q34" i="1"/>
  <c r="P34" i="1"/>
  <c r="O34" i="1"/>
  <c r="N34" i="1"/>
  <c r="M34" i="1"/>
  <c r="L34" i="1"/>
  <c r="K34" i="1"/>
  <c r="Q33" i="1"/>
  <c r="P33" i="1"/>
  <c r="O33" i="1"/>
  <c r="N33" i="1"/>
  <c r="M33" i="1"/>
  <c r="L33" i="1"/>
  <c r="K33" i="1"/>
  <c r="Q32" i="1"/>
  <c r="P32" i="1"/>
  <c r="O32" i="1"/>
  <c r="N32" i="1"/>
  <c r="M32" i="1"/>
  <c r="L32" i="1"/>
  <c r="K32" i="1"/>
  <c r="Q31" i="1"/>
  <c r="P31" i="1"/>
  <c r="O31" i="1"/>
  <c r="N31" i="1"/>
  <c r="M31" i="1"/>
  <c r="L31" i="1"/>
  <c r="K31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Q22" i="1"/>
  <c r="P22" i="1"/>
  <c r="O22" i="1"/>
  <c r="N22" i="1"/>
  <c r="M22" i="1"/>
  <c r="L22" i="1"/>
  <c r="K22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/>
  <c r="Q7" i="1"/>
  <c r="P7" i="1"/>
  <c r="O7" i="1"/>
  <c r="N7" i="1"/>
  <c r="M7" i="1"/>
  <c r="L7" i="1"/>
  <c r="K7" i="1"/>
  <c r="Q6" i="1"/>
  <c r="P6" i="1"/>
  <c r="O6" i="1"/>
  <c r="N6" i="1"/>
  <c r="M6" i="1"/>
  <c r="L6" i="1"/>
  <c r="K6" i="1"/>
  <c r="Q5" i="1"/>
  <c r="P5" i="1"/>
  <c r="O5" i="1"/>
  <c r="N5" i="1"/>
  <c r="M5" i="1"/>
  <c r="L5" i="1"/>
  <c r="K5" i="1"/>
  <c r="Q4" i="1"/>
  <c r="P4" i="1"/>
  <c r="O4" i="1"/>
  <c r="N4" i="1"/>
  <c r="M4" i="1"/>
  <c r="L4" i="1"/>
  <c r="K4" i="1"/>
  <c r="H67" i="1"/>
  <c r="G67" i="1"/>
  <c r="F67" i="1"/>
  <c r="D67" i="1"/>
  <c r="C67" i="1"/>
  <c r="B67" i="1"/>
  <c r="H66" i="1"/>
  <c r="Q66" i="1" s="1"/>
  <c r="G66" i="1"/>
  <c r="P66" i="1" s="1"/>
  <c r="F66" i="1"/>
  <c r="O66" i="1" s="1"/>
  <c r="E66" i="1"/>
  <c r="N66" i="1" s="1"/>
  <c r="D66" i="1"/>
  <c r="M66" i="1" s="1"/>
  <c r="C66" i="1"/>
  <c r="L66" i="1" s="1"/>
  <c r="B66" i="1"/>
  <c r="K66" i="1" s="1"/>
</calcChain>
</file>

<file path=xl/sharedStrings.xml><?xml version="1.0" encoding="utf-8"?>
<sst xmlns="http://schemas.openxmlformats.org/spreadsheetml/2006/main" count="157" uniqueCount="82">
  <si>
    <t>Total Calls by Company</t>
  </si>
  <si>
    <t>Q4 2025</t>
  </si>
  <si>
    <t>Q1 2026</t>
  </si>
  <si>
    <t>Apr MTD</t>
  </si>
  <si>
    <t>Company</t>
  </si>
  <si>
    <t>Oct</t>
  </si>
  <si>
    <t>Nov</t>
  </si>
  <si>
    <t>Dec</t>
  </si>
  <si>
    <t>Jan</t>
  </si>
  <si>
    <t>Feb</t>
  </si>
  <si>
    <t>Mar</t>
  </si>
  <si>
    <t>Apr</t>
  </si>
  <si>
    <t>Alliant</t>
  </si>
  <si>
    <t>Juda, Eskew, &amp; Associates</t>
  </si>
  <si>
    <t>Silverleaf Management</t>
  </si>
  <si>
    <t>Premier Community Association Management</t>
  </si>
  <si>
    <t>Timmons Properties, Inc.</t>
  </si>
  <si>
    <t>Management Plus</t>
  </si>
  <si>
    <t>RCP Management Company</t>
  </si>
  <si>
    <t>Keys Property Management</t>
  </si>
  <si>
    <t>The Manor Association</t>
  </si>
  <si>
    <t>Premier</t>
  </si>
  <si>
    <t>FiveKeys Community Management</t>
  </si>
  <si>
    <t>HOALiving</t>
  </si>
  <si>
    <t>CMG</t>
  </si>
  <si>
    <t>Interpacific Asset Management</t>
  </si>
  <si>
    <t>Sage Management LLC</t>
  </si>
  <si>
    <t>Island Condo LLC</t>
  </si>
  <si>
    <t>ACCU</t>
  </si>
  <si>
    <t>WPM Real Estate Management</t>
  </si>
  <si>
    <t>Association Services of Washington</t>
  </si>
  <si>
    <t>3.0 Management</t>
  </si>
  <si>
    <t>Park Pointe Management Services</t>
  </si>
  <si>
    <t>Alluvia</t>
  </si>
  <si>
    <t>Atmos Living Management Group</t>
  </si>
  <si>
    <t>ACE</t>
  </si>
  <si>
    <t>ACE Property Management, Inc.</t>
  </si>
  <si>
    <t>Lang Management Company</t>
  </si>
  <si>
    <t>Compass Rose of North Texas</t>
  </si>
  <si>
    <t>AMP HOA</t>
  </si>
  <si>
    <t>Blue Door Realty</t>
  </si>
  <si>
    <t>Aspire Community Management</t>
  </si>
  <si>
    <t>New Bedford Management Corp</t>
  </si>
  <si>
    <t>Mauzy Management</t>
  </si>
  <si>
    <t>VirtualHOA.com</t>
  </si>
  <si>
    <t>HOAi Management Company</t>
  </si>
  <si>
    <t xml:space="preserve">Walston Management </t>
  </si>
  <si>
    <t>IndygoCAM</t>
  </si>
  <si>
    <t>Property Management Services of Maine</t>
  </si>
  <si>
    <t>Unicorn Management Company</t>
  </si>
  <si>
    <t>HOA Accounting Services, Inc.</t>
  </si>
  <si>
    <t>Centennial Consulting Group</t>
  </si>
  <si>
    <t xml:space="preserve">Alliance HOA Management LLC </t>
  </si>
  <si>
    <t>Preferred Communities</t>
  </si>
  <si>
    <t>VMC (HOAi)</t>
  </si>
  <si>
    <t>Community Management Specialists Inc</t>
  </si>
  <si>
    <t>Action Community Management</t>
  </si>
  <si>
    <t>EJF</t>
  </si>
  <si>
    <t>Young Management Group, Inc.</t>
  </si>
  <si>
    <t>New Vision Community Management</t>
  </si>
  <si>
    <t>Eclipse Community Management</t>
  </si>
  <si>
    <t>HOA Assist</t>
  </si>
  <si>
    <t>Gaughan Association Management</t>
  </si>
  <si>
    <t>Kentuckiana</t>
  </si>
  <si>
    <t>FiveCircle Property Management</t>
  </si>
  <si>
    <t>AER Community Management</t>
  </si>
  <si>
    <t>Wilkin Management Group</t>
  </si>
  <si>
    <t>KRJ Management, Inc</t>
  </si>
  <si>
    <t>MMI</t>
  </si>
  <si>
    <t>CMGT</t>
  </si>
  <si>
    <t>Vantaca Pay Support</t>
  </si>
  <si>
    <t>CAMCO</t>
  </si>
  <si>
    <t>HOA Solutions</t>
  </si>
  <si>
    <t>Mountain Valley Property Management</t>
  </si>
  <si>
    <t>BOOK TOTAL</t>
  </si>
  <si>
    <t>Active Customers</t>
  </si>
  <si>
    <t>Days in Month</t>
  </si>
  <si>
    <t>Calls / Day by Company</t>
  </si>
  <si>
    <t>Active Customers &gt;25</t>
  </si>
  <si>
    <t>Active Customers &gt;15</t>
  </si>
  <si>
    <t>Active Customers &gt;10</t>
  </si>
  <si>
    <t>Active Customers 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</si>
</sst>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3"/>
      <color rgb="FF1A527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A5276"/>
      <name val="Calibri"/>
    </font>
    <font>
      <b/>
      <sz val="12"/>
      <color rgb="FF1A5276"/>
      <name val="Calibri"/>
    </font>
    <font>
      <i/>
      <sz val="11"/>
      <color rgb="FF99999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0F0F0"/>
        <bgColor rgb="FFF0F0F0"/>
      </patternFill>
    </fill>
    <fill>
      <patternFill patternType="solid">
        <fgColor rgb="FFD4EFDF"/>
        <bgColor rgb="FFD4EFD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D8DC"/>
      </bottom>
      <diagonal/>
    </border>
    <border>
      <left/>
      <right/>
      <top style="medium">
        <color rgb="FF2D3748"/>
      </top>
      <bottom style="medium">
        <color rgb="FF2D374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1" xfId="0" applyBorder="1"/>
    <xf numFmtId="0" fontId="2" fillId="6" borderId="2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3" fontId="0" fillId="3" borderId="1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right"/>
    </xf>
    <xf numFmtId="164" fontId="2" fillId="6" borderId="2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right"/>
    </xf>
    <xf numFmtId="0" fontId="0" fillId="0" borderId="1" xfId="0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ED7D4F2-252C-4A68-8AE2-802B0356F6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0E35FE-3E67-4D0E-9629-DC9F690A76C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f2863fc-b1f3-4114-b751-701b2d2de4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showGridLines="0" tabSelected="1" workbookViewId="0">
      <pane xSplit="1" ySplit="3" topLeftCell="E38" activePane="bottomRight" state="frozen"/>
      <selection pane="topRight"/>
      <selection pane="bottomLeft"/>
      <selection pane="bottomRight" activeCell="Q71" sqref="Q71"/>
    </sheetView>
  </sheetViews>
  <sheetFormatPr defaultRowHeight="14.4" x14ac:dyDescent="0.3"/>
  <cols>
    <col min="1" max="1" width="42" customWidth="1"/>
    <col min="2" max="8" width="10.77734375" customWidth="1"/>
    <col min="9" max="9" width="2.77734375" customWidth="1"/>
    <col min="10" max="10" width="41.5546875" bestFit="1" customWidth="1"/>
    <col min="11" max="17" width="10.77734375" customWidth="1"/>
  </cols>
  <sheetData>
    <row r="1" spans="1:17" ht="17.399999999999999" x14ac:dyDescent="0.35">
      <c r="A1" s="9" t="s">
        <v>0</v>
      </c>
      <c r="B1" s="10"/>
      <c r="C1" s="10"/>
      <c r="D1" s="10"/>
      <c r="E1" s="10"/>
      <c r="F1" s="10"/>
      <c r="G1" s="10"/>
      <c r="H1" s="10"/>
      <c r="J1" s="1" t="s">
        <v>77</v>
      </c>
    </row>
    <row r="2" spans="1:17" x14ac:dyDescent="0.3">
      <c r="B2" s="11" t="s">
        <v>1</v>
      </c>
      <c r="C2" s="10"/>
      <c r="D2" s="10"/>
      <c r="E2" s="11" t="s">
        <v>2</v>
      </c>
      <c r="F2" s="10"/>
      <c r="G2" s="10"/>
      <c r="H2" s="2" t="s">
        <v>3</v>
      </c>
      <c r="K2" s="2" t="s">
        <v>1</v>
      </c>
      <c r="N2" s="2" t="s">
        <v>2</v>
      </c>
      <c r="Q2" s="2" t="s">
        <v>3</v>
      </c>
    </row>
    <row r="3" spans="1:17" x14ac:dyDescent="0.3">
      <c r="A3" s="3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3"/>
      <c r="J3" s="3" t="s">
        <v>4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x14ac:dyDescent="0.3">
      <c r="A4" s="4" t="s">
        <v>12</v>
      </c>
      <c r="B4" s="14"/>
      <c r="C4" s="14"/>
      <c r="D4" s="14"/>
      <c r="E4" s="15"/>
      <c r="F4" s="15"/>
      <c r="G4" s="15">
        <v>746</v>
      </c>
      <c r="H4" s="16">
        <v>3095</v>
      </c>
      <c r="I4" s="13"/>
      <c r="J4" s="23" t="s">
        <v>12</v>
      </c>
      <c r="K4" s="17" t="str">
        <f>IF(B4="","",B4/$B$68)</f>
        <v/>
      </c>
      <c r="L4" s="17" t="str">
        <f>IF(C4="","",C4/$C$68)</f>
        <v/>
      </c>
      <c r="M4" s="17" t="str">
        <f>IF(D4="","",D4/$D$68)</f>
        <v/>
      </c>
      <c r="N4" s="18" t="str">
        <f>IF(E4="","",E4/$E$68)</f>
        <v/>
      </c>
      <c r="O4" s="18" t="str">
        <f>IF(F4="","",F4/$F$68)</f>
        <v/>
      </c>
      <c r="P4" s="18">
        <f>IF(G4="","",G4/$G$68)</f>
        <v>24.06451612903226</v>
      </c>
      <c r="Q4" s="19">
        <f>IF(H4="","",H4/$H$68)</f>
        <v>238.07692307692307</v>
      </c>
    </row>
    <row r="5" spans="1:17" x14ac:dyDescent="0.3">
      <c r="A5" s="4" t="s">
        <v>13</v>
      </c>
      <c r="B5" s="14"/>
      <c r="C5" s="14"/>
      <c r="D5" s="14"/>
      <c r="E5" s="15">
        <v>16</v>
      </c>
      <c r="F5" s="15">
        <v>843</v>
      </c>
      <c r="G5" s="15">
        <v>3946</v>
      </c>
      <c r="H5" s="16">
        <v>2031</v>
      </c>
      <c r="I5" s="13"/>
      <c r="J5" s="23" t="s">
        <v>13</v>
      </c>
      <c r="K5" s="17" t="str">
        <f>IF(B5="","",B5/$B$68)</f>
        <v/>
      </c>
      <c r="L5" s="17" t="str">
        <f>IF(C5="","",C5/$C$68)</f>
        <v/>
      </c>
      <c r="M5" s="17" t="str">
        <f>IF(D5="","",D5/$D$68)</f>
        <v/>
      </c>
      <c r="N5" s="18">
        <f>IF(E5="","",E5/$E$68)</f>
        <v>0.5161290322580645</v>
      </c>
      <c r="O5" s="18">
        <f>IF(F5="","",F5/$F$68)</f>
        <v>30.107142857142858</v>
      </c>
      <c r="P5" s="18">
        <f>IF(G5="","",G5/$G$68)</f>
        <v>127.29032258064517</v>
      </c>
      <c r="Q5" s="19">
        <f>IF(H5="","",H5/$H$68)</f>
        <v>156.23076923076923</v>
      </c>
    </row>
    <row r="6" spans="1:17" x14ac:dyDescent="0.3">
      <c r="A6" s="4" t="s">
        <v>14</v>
      </c>
      <c r="B6" s="14">
        <v>3480</v>
      </c>
      <c r="C6" s="14">
        <v>2554</v>
      </c>
      <c r="D6" s="14">
        <v>3040</v>
      </c>
      <c r="E6" s="15">
        <v>4039</v>
      </c>
      <c r="F6" s="15">
        <v>3790</v>
      </c>
      <c r="G6" s="15">
        <v>2491</v>
      </c>
      <c r="H6" s="16">
        <v>1778</v>
      </c>
      <c r="I6" s="13"/>
      <c r="J6" s="23" t="s">
        <v>14</v>
      </c>
      <c r="K6" s="17">
        <f>IF(B6="","",B6/$B$68)</f>
        <v>112.25806451612904</v>
      </c>
      <c r="L6" s="17">
        <f>IF(C6="","",C6/$C$68)</f>
        <v>85.13333333333334</v>
      </c>
      <c r="M6" s="17">
        <f>IF(D6="","",D6/$D$68)</f>
        <v>98.064516129032256</v>
      </c>
      <c r="N6" s="18">
        <f>IF(E6="","",E6/$E$68)</f>
        <v>130.29032258064515</v>
      </c>
      <c r="O6" s="18">
        <f>IF(F6="","",F6/$F$68)</f>
        <v>135.35714285714286</v>
      </c>
      <c r="P6" s="18">
        <f>IF(G6="","",G6/$G$68)</f>
        <v>80.354838709677423</v>
      </c>
      <c r="Q6" s="19">
        <f>IF(H6="","",H6/$H$68)</f>
        <v>136.76923076923077</v>
      </c>
    </row>
    <row r="7" spans="1:17" x14ac:dyDescent="0.3">
      <c r="A7" s="4" t="s">
        <v>15</v>
      </c>
      <c r="B7" s="14">
        <v>1494</v>
      </c>
      <c r="C7" s="14">
        <v>1156</v>
      </c>
      <c r="D7" s="14">
        <v>2099</v>
      </c>
      <c r="E7" s="15">
        <v>3102</v>
      </c>
      <c r="F7" s="15">
        <v>2584</v>
      </c>
      <c r="G7" s="15">
        <v>3101</v>
      </c>
      <c r="H7" s="16">
        <v>1510</v>
      </c>
      <c r="I7" s="13"/>
      <c r="J7" s="23" t="s">
        <v>15</v>
      </c>
      <c r="K7" s="17">
        <f>IF(B7="","",B7/$B$68)</f>
        <v>48.193548387096776</v>
      </c>
      <c r="L7" s="17">
        <f>IF(C7="","",C7/$C$68)</f>
        <v>38.533333333333331</v>
      </c>
      <c r="M7" s="17">
        <f>IF(D7="","",D7/$D$68)</f>
        <v>67.709677419354833</v>
      </c>
      <c r="N7" s="18">
        <f>IF(E7="","",E7/$E$68)</f>
        <v>100.06451612903226</v>
      </c>
      <c r="O7" s="18">
        <f>IF(F7="","",F7/$F$68)</f>
        <v>92.285714285714292</v>
      </c>
      <c r="P7" s="18">
        <f>IF(G7="","",G7/$G$68)</f>
        <v>100.03225806451613</v>
      </c>
      <c r="Q7" s="19">
        <f>IF(H7="","",H7/$H$68)</f>
        <v>116.15384615384616</v>
      </c>
    </row>
    <row r="8" spans="1:17" x14ac:dyDescent="0.3">
      <c r="A8" s="4" t="s">
        <v>16</v>
      </c>
      <c r="B8" s="14"/>
      <c r="C8" s="14"/>
      <c r="D8" s="14">
        <v>2</v>
      </c>
      <c r="E8" s="15">
        <v>318</v>
      </c>
      <c r="F8" s="15">
        <v>1489</v>
      </c>
      <c r="G8" s="15">
        <v>2357</v>
      </c>
      <c r="H8" s="16">
        <v>1170</v>
      </c>
      <c r="I8" s="13"/>
      <c r="J8" s="23" t="s">
        <v>16</v>
      </c>
      <c r="K8" s="17" t="str">
        <f>IF(B8="","",B8/$B$68)</f>
        <v/>
      </c>
      <c r="L8" s="17" t="str">
        <f>IF(C8="","",C8/$C$68)</f>
        <v/>
      </c>
      <c r="M8" s="17">
        <f>IF(D8="","",D8/$D$68)</f>
        <v>6.4516129032258063E-2</v>
      </c>
      <c r="N8" s="18">
        <f>IF(E8="","",E8/$E$68)</f>
        <v>10.258064516129032</v>
      </c>
      <c r="O8" s="18">
        <f>IF(F8="","",F8/$F$68)</f>
        <v>53.178571428571431</v>
      </c>
      <c r="P8" s="18">
        <f>IF(G8="","",G8/$G$68)</f>
        <v>76.032258064516128</v>
      </c>
      <c r="Q8" s="19">
        <f>IF(H8="","",H8/$H$68)</f>
        <v>90</v>
      </c>
    </row>
    <row r="9" spans="1:17" x14ac:dyDescent="0.3">
      <c r="A9" s="4" t="s">
        <v>17</v>
      </c>
      <c r="B9" s="14"/>
      <c r="C9" s="14"/>
      <c r="D9" s="14"/>
      <c r="E9" s="15"/>
      <c r="F9" s="15">
        <v>2</v>
      </c>
      <c r="G9" s="15">
        <v>1119</v>
      </c>
      <c r="H9" s="16">
        <v>915</v>
      </c>
      <c r="I9" s="13"/>
      <c r="J9" s="23" t="s">
        <v>17</v>
      </c>
      <c r="K9" s="17" t="str">
        <f>IF(B9="","",B9/$B$68)</f>
        <v/>
      </c>
      <c r="L9" s="17" t="str">
        <f>IF(C9="","",C9/$C$68)</f>
        <v/>
      </c>
      <c r="M9" s="17" t="str">
        <f>IF(D9="","",D9/$D$68)</f>
        <v/>
      </c>
      <c r="N9" s="18" t="str">
        <f>IF(E9="","",E9/$E$68)</f>
        <v/>
      </c>
      <c r="O9" s="18">
        <f>IF(F9="","",F9/$F$68)</f>
        <v>7.1428571428571425E-2</v>
      </c>
      <c r="P9" s="18">
        <f>IF(G9="","",G9/$G$68)</f>
        <v>36.096774193548384</v>
      </c>
      <c r="Q9" s="19">
        <f>IF(H9="","",H9/$H$68)</f>
        <v>70.384615384615387</v>
      </c>
    </row>
    <row r="10" spans="1:17" x14ac:dyDescent="0.3">
      <c r="A10" s="4" t="s">
        <v>18</v>
      </c>
      <c r="B10" s="14">
        <v>1026</v>
      </c>
      <c r="C10" s="14">
        <v>1817</v>
      </c>
      <c r="D10" s="14">
        <v>1868</v>
      </c>
      <c r="E10" s="15">
        <v>2136</v>
      </c>
      <c r="F10" s="15">
        <v>2074</v>
      </c>
      <c r="G10" s="15">
        <v>1819</v>
      </c>
      <c r="H10" s="16">
        <v>911</v>
      </c>
      <c r="I10" s="13"/>
      <c r="J10" s="23" t="s">
        <v>18</v>
      </c>
      <c r="K10" s="17">
        <f>IF(B10="","",B10/$B$68)</f>
        <v>33.096774193548384</v>
      </c>
      <c r="L10" s="17">
        <f>IF(C10="","",C10/$C$68)</f>
        <v>60.56666666666667</v>
      </c>
      <c r="M10" s="17">
        <f>IF(D10="","",D10/$D$68)</f>
        <v>60.258064516129032</v>
      </c>
      <c r="N10" s="18">
        <f>IF(E10="","",E10/$E$68)</f>
        <v>68.903225806451616</v>
      </c>
      <c r="O10" s="18">
        <f>IF(F10="","",F10/$F$68)</f>
        <v>74.071428571428569</v>
      </c>
      <c r="P10" s="18">
        <f>IF(G10="","",G10/$G$68)</f>
        <v>58.677419354838712</v>
      </c>
      <c r="Q10" s="19">
        <f>IF(H10="","",H10/$H$68)</f>
        <v>70.07692307692308</v>
      </c>
    </row>
    <row r="11" spans="1:17" x14ac:dyDescent="0.3">
      <c r="A11" s="4" t="s">
        <v>19</v>
      </c>
      <c r="B11" s="14">
        <v>2065</v>
      </c>
      <c r="C11" s="14">
        <v>1464</v>
      </c>
      <c r="D11" s="14">
        <v>1846</v>
      </c>
      <c r="E11" s="15">
        <v>1839</v>
      </c>
      <c r="F11" s="15">
        <v>1675</v>
      </c>
      <c r="G11" s="15">
        <v>1797</v>
      </c>
      <c r="H11" s="16">
        <v>840</v>
      </c>
      <c r="I11" s="13"/>
      <c r="J11" s="23" t="s">
        <v>19</v>
      </c>
      <c r="K11" s="17">
        <f>IF(B11="","",B11/$B$68)</f>
        <v>66.612903225806448</v>
      </c>
      <c r="L11" s="17">
        <f>IF(C11="","",C11/$C$68)</f>
        <v>48.8</v>
      </c>
      <c r="M11" s="17">
        <f>IF(D11="","",D11/$D$68)</f>
        <v>59.548387096774192</v>
      </c>
      <c r="N11" s="18">
        <f>IF(E11="","",E11/$E$68)</f>
        <v>59.322580645161288</v>
      </c>
      <c r="O11" s="18">
        <f>IF(F11="","",F11/$F$68)</f>
        <v>59.821428571428569</v>
      </c>
      <c r="P11" s="18">
        <f>IF(G11="","",G11/$G$68)</f>
        <v>57.967741935483872</v>
      </c>
      <c r="Q11" s="19">
        <f>IF(H11="","",H11/$H$68)</f>
        <v>64.615384615384613</v>
      </c>
    </row>
    <row r="12" spans="1:17" x14ac:dyDescent="0.3">
      <c r="A12" s="4" t="s">
        <v>20</v>
      </c>
      <c r="B12" s="14"/>
      <c r="C12" s="14"/>
      <c r="D12" s="14">
        <v>35</v>
      </c>
      <c r="E12" s="15">
        <v>76</v>
      </c>
      <c r="F12" s="15">
        <v>217</v>
      </c>
      <c r="G12" s="15">
        <v>1734</v>
      </c>
      <c r="H12" s="16">
        <v>826</v>
      </c>
      <c r="I12" s="13"/>
      <c r="J12" s="23" t="s">
        <v>20</v>
      </c>
      <c r="K12" s="17" t="str">
        <f>IF(B12="","",B12/$B$68)</f>
        <v/>
      </c>
      <c r="L12" s="17" t="str">
        <f>IF(C12="","",C12/$C$68)</f>
        <v/>
      </c>
      <c r="M12" s="17">
        <f>IF(D12="","",D12/$D$68)</f>
        <v>1.1290322580645162</v>
      </c>
      <c r="N12" s="18">
        <f>IF(E12="","",E12/$E$68)</f>
        <v>2.4516129032258065</v>
      </c>
      <c r="O12" s="18">
        <f>IF(F12="","",F12/$F$68)</f>
        <v>7.75</v>
      </c>
      <c r="P12" s="18">
        <f>IF(G12="","",G12/$G$68)</f>
        <v>55.935483870967744</v>
      </c>
      <c r="Q12" s="19">
        <f>IF(H12="","",H12/$H$68)</f>
        <v>63.53846153846154</v>
      </c>
    </row>
    <row r="13" spans="1:17" x14ac:dyDescent="0.3">
      <c r="A13" s="4" t="s">
        <v>21</v>
      </c>
      <c r="B13" s="14"/>
      <c r="C13" s="14"/>
      <c r="D13" s="14">
        <v>5</v>
      </c>
      <c r="E13" s="15">
        <v>2</v>
      </c>
      <c r="F13" s="15">
        <v>47</v>
      </c>
      <c r="G13" s="15">
        <v>34</v>
      </c>
      <c r="H13" s="16">
        <v>760</v>
      </c>
      <c r="I13" s="13"/>
      <c r="J13" s="23" t="s">
        <v>21</v>
      </c>
      <c r="K13" s="17" t="str">
        <f>IF(B13="","",B13/$B$68)</f>
        <v/>
      </c>
      <c r="L13" s="17" t="str">
        <f>IF(C13="","",C13/$C$68)</f>
        <v/>
      </c>
      <c r="M13" s="17">
        <f>IF(D13="","",D13/$D$68)</f>
        <v>0.16129032258064516</v>
      </c>
      <c r="N13" s="18">
        <f>IF(E13="","",E13/$E$68)</f>
        <v>6.4516129032258063E-2</v>
      </c>
      <c r="O13" s="18">
        <f>IF(F13="","",F13/$F$68)</f>
        <v>1.6785714285714286</v>
      </c>
      <c r="P13" s="18">
        <f>IF(G13="","",G13/$G$68)</f>
        <v>1.096774193548387</v>
      </c>
      <c r="Q13" s="19">
        <f>IF(H13="","",H13/$H$68)</f>
        <v>58.46153846153846</v>
      </c>
    </row>
    <row r="14" spans="1:17" x14ac:dyDescent="0.3">
      <c r="A14" s="4" t="s">
        <v>22</v>
      </c>
      <c r="B14" s="14">
        <v>1304</v>
      </c>
      <c r="C14" s="14">
        <v>1021</v>
      </c>
      <c r="D14" s="14">
        <v>1312</v>
      </c>
      <c r="E14" s="15">
        <v>1401</v>
      </c>
      <c r="F14" s="15">
        <v>1280</v>
      </c>
      <c r="G14" s="15">
        <v>1608</v>
      </c>
      <c r="H14" s="16">
        <v>681</v>
      </c>
      <c r="I14" s="13"/>
      <c r="J14" s="23" t="s">
        <v>22</v>
      </c>
      <c r="K14" s="17">
        <f>IF(B14="","",B14/$B$68)</f>
        <v>42.064516129032256</v>
      </c>
      <c r="L14" s="17">
        <f>IF(C14="","",C14/$C$68)</f>
        <v>34.033333333333331</v>
      </c>
      <c r="M14" s="17">
        <f>IF(D14="","",D14/$D$68)</f>
        <v>42.322580645161288</v>
      </c>
      <c r="N14" s="18">
        <f>IF(E14="","",E14/$E$68)</f>
        <v>45.193548387096776</v>
      </c>
      <c r="O14" s="18">
        <f>IF(F14="","",F14/$F$68)</f>
        <v>45.714285714285715</v>
      </c>
      <c r="P14" s="18">
        <f>IF(G14="","",G14/$G$68)</f>
        <v>51.87096774193548</v>
      </c>
      <c r="Q14" s="19">
        <f>IF(H14="","",H14/$H$68)</f>
        <v>52.384615384615387</v>
      </c>
    </row>
    <row r="15" spans="1:17" x14ac:dyDescent="0.3">
      <c r="A15" s="4" t="s">
        <v>23</v>
      </c>
      <c r="B15" s="14"/>
      <c r="C15" s="14"/>
      <c r="D15" s="14"/>
      <c r="E15" s="15">
        <v>218</v>
      </c>
      <c r="F15" s="15">
        <v>312</v>
      </c>
      <c r="G15" s="15">
        <v>798</v>
      </c>
      <c r="H15" s="16">
        <v>681</v>
      </c>
      <c r="I15" s="13"/>
      <c r="J15" s="23" t="s">
        <v>23</v>
      </c>
      <c r="K15" s="17" t="str">
        <f>IF(B15="","",B15/$B$68)</f>
        <v/>
      </c>
      <c r="L15" s="17" t="str">
        <f>IF(C15="","",C15/$C$68)</f>
        <v/>
      </c>
      <c r="M15" s="17" t="str">
        <f>IF(D15="","",D15/$D$68)</f>
        <v/>
      </c>
      <c r="N15" s="18">
        <f>IF(E15="","",E15/$E$68)</f>
        <v>7.032258064516129</v>
      </c>
      <c r="O15" s="18">
        <f>IF(F15="","",F15/$F$68)</f>
        <v>11.142857142857142</v>
      </c>
      <c r="P15" s="18">
        <f>IF(G15="","",G15/$G$68)</f>
        <v>25.741935483870968</v>
      </c>
      <c r="Q15" s="19">
        <f>IF(H15="","",H15/$H$68)</f>
        <v>52.384615384615387</v>
      </c>
    </row>
    <row r="16" spans="1:17" x14ac:dyDescent="0.3">
      <c r="A16" s="4" t="s">
        <v>24</v>
      </c>
      <c r="B16" s="14">
        <v>1304</v>
      </c>
      <c r="C16" s="14">
        <v>977</v>
      </c>
      <c r="D16" s="14">
        <v>1207</v>
      </c>
      <c r="E16" s="15">
        <v>1582</v>
      </c>
      <c r="F16" s="15">
        <v>1234</v>
      </c>
      <c r="G16" s="15">
        <v>1422</v>
      </c>
      <c r="H16" s="16">
        <v>630</v>
      </c>
      <c r="I16" s="13"/>
      <c r="J16" s="23" t="s">
        <v>24</v>
      </c>
      <c r="K16" s="17">
        <f>IF(B16="","",B16/$B$68)</f>
        <v>42.064516129032256</v>
      </c>
      <c r="L16" s="17">
        <f>IF(C16="","",C16/$C$68)</f>
        <v>32.56666666666667</v>
      </c>
      <c r="M16" s="17">
        <f>IF(D16="","",D16/$D$68)</f>
        <v>38.935483870967744</v>
      </c>
      <c r="N16" s="18">
        <f>IF(E16="","",E16/$E$68)</f>
        <v>51.032258064516128</v>
      </c>
      <c r="O16" s="18">
        <f>IF(F16="","",F16/$F$68)</f>
        <v>44.071428571428569</v>
      </c>
      <c r="P16" s="18">
        <f>IF(G16="","",G16/$G$68)</f>
        <v>45.87096774193548</v>
      </c>
      <c r="Q16" s="19">
        <f>IF(H16="","",H16/$H$68)</f>
        <v>48.46153846153846</v>
      </c>
    </row>
    <row r="17" spans="1:17" x14ac:dyDescent="0.3">
      <c r="A17" s="4" t="s">
        <v>25</v>
      </c>
      <c r="B17" s="14"/>
      <c r="C17" s="14"/>
      <c r="D17" s="14"/>
      <c r="E17" s="15"/>
      <c r="F17" s="15"/>
      <c r="G17" s="15">
        <v>21</v>
      </c>
      <c r="H17" s="16">
        <v>611</v>
      </c>
      <c r="I17" s="13"/>
      <c r="J17" s="23" t="s">
        <v>25</v>
      </c>
      <c r="K17" s="17" t="str">
        <f>IF(B17="","",B17/$B$68)</f>
        <v/>
      </c>
      <c r="L17" s="17" t="str">
        <f>IF(C17="","",C17/$C$68)</f>
        <v/>
      </c>
      <c r="M17" s="17" t="str">
        <f>IF(D17="","",D17/$D$68)</f>
        <v/>
      </c>
      <c r="N17" s="18" t="str">
        <f>IF(E17="","",E17/$E$68)</f>
        <v/>
      </c>
      <c r="O17" s="18" t="str">
        <f>IF(F17="","",F17/$F$68)</f>
        <v/>
      </c>
      <c r="P17" s="18">
        <f>IF(G17="","",G17/$G$68)</f>
        <v>0.67741935483870963</v>
      </c>
      <c r="Q17" s="19">
        <f>IF(H17="","",H17/$H$68)</f>
        <v>47</v>
      </c>
    </row>
    <row r="18" spans="1:17" x14ac:dyDescent="0.3">
      <c r="A18" s="4" t="s">
        <v>26</v>
      </c>
      <c r="B18" s="14">
        <v>1324</v>
      </c>
      <c r="C18" s="14">
        <v>1139</v>
      </c>
      <c r="D18" s="14">
        <v>1128</v>
      </c>
      <c r="E18" s="15">
        <v>1398</v>
      </c>
      <c r="F18" s="15">
        <v>1177</v>
      </c>
      <c r="G18" s="15">
        <v>1377</v>
      </c>
      <c r="H18" s="16">
        <v>598</v>
      </c>
      <c r="I18" s="13"/>
      <c r="J18" s="23" t="s">
        <v>26</v>
      </c>
      <c r="K18" s="17">
        <f>IF(B18="","",B18/$B$68)</f>
        <v>42.70967741935484</v>
      </c>
      <c r="L18" s="17">
        <f>IF(C18="","",C18/$C$68)</f>
        <v>37.966666666666669</v>
      </c>
      <c r="M18" s="17">
        <f>IF(D18="","",D18/$D$68)</f>
        <v>36.387096774193552</v>
      </c>
      <c r="N18" s="18">
        <f>IF(E18="","",E18/$E$68)</f>
        <v>45.096774193548384</v>
      </c>
      <c r="O18" s="18">
        <f>IF(F18="","",F18/$F$68)</f>
        <v>42.035714285714285</v>
      </c>
      <c r="P18" s="18">
        <f>IF(G18="","",G18/$G$68)</f>
        <v>44.41935483870968</v>
      </c>
      <c r="Q18" s="19">
        <f>IF(H18="","",H18/$H$68)</f>
        <v>46</v>
      </c>
    </row>
    <row r="19" spans="1:17" x14ac:dyDescent="0.3">
      <c r="A19" s="4" t="s">
        <v>27</v>
      </c>
      <c r="B19" s="14"/>
      <c r="C19" s="14"/>
      <c r="D19" s="14"/>
      <c r="E19" s="15">
        <v>2</v>
      </c>
      <c r="F19" s="15">
        <v>751</v>
      </c>
      <c r="G19" s="15">
        <v>1594</v>
      </c>
      <c r="H19" s="16">
        <v>528</v>
      </c>
      <c r="I19" s="13"/>
      <c r="J19" s="23" t="s">
        <v>27</v>
      </c>
      <c r="K19" s="17" t="str">
        <f>IF(B19="","",B19/$B$68)</f>
        <v/>
      </c>
      <c r="L19" s="17" t="str">
        <f>IF(C19="","",C19/$C$68)</f>
        <v/>
      </c>
      <c r="M19" s="17" t="str">
        <f>IF(D19="","",D19/$D$68)</f>
        <v/>
      </c>
      <c r="N19" s="18">
        <f>IF(E19="","",E19/$E$68)</f>
        <v>6.4516129032258063E-2</v>
      </c>
      <c r="O19" s="18">
        <f>IF(F19="","",F19/$F$68)</f>
        <v>26.821428571428573</v>
      </c>
      <c r="P19" s="18">
        <f>IF(G19="","",G19/$G$68)</f>
        <v>51.41935483870968</v>
      </c>
      <c r="Q19" s="19">
        <f>IF(H19="","",H19/$H$68)</f>
        <v>40.615384615384613</v>
      </c>
    </row>
    <row r="20" spans="1:17" x14ac:dyDescent="0.3">
      <c r="A20" s="4" t="s">
        <v>28</v>
      </c>
      <c r="B20" s="14"/>
      <c r="C20" s="14"/>
      <c r="D20" s="14"/>
      <c r="E20" s="15">
        <v>1</v>
      </c>
      <c r="F20" s="15">
        <v>122</v>
      </c>
      <c r="G20" s="15">
        <v>1163</v>
      </c>
      <c r="H20" s="16">
        <v>526</v>
      </c>
      <c r="I20" s="13"/>
      <c r="J20" s="23" t="s">
        <v>28</v>
      </c>
      <c r="K20" s="17" t="str">
        <f>IF(B20="","",B20/$B$68)</f>
        <v/>
      </c>
      <c r="L20" s="17" t="str">
        <f>IF(C20="","",C20/$C$68)</f>
        <v/>
      </c>
      <c r="M20" s="17" t="str">
        <f>IF(D20="","",D20/$D$68)</f>
        <v/>
      </c>
      <c r="N20" s="18">
        <f>IF(E20="","",E20/$E$68)</f>
        <v>3.2258064516129031E-2</v>
      </c>
      <c r="O20" s="18">
        <f>IF(F20="","",F20/$F$68)</f>
        <v>4.3571428571428568</v>
      </c>
      <c r="P20" s="18">
        <f>IF(G20="","",G20/$G$68)</f>
        <v>37.516129032258064</v>
      </c>
      <c r="Q20" s="19">
        <f>IF(H20="","",H20/$H$68)</f>
        <v>40.46153846153846</v>
      </c>
    </row>
    <row r="21" spans="1:17" x14ac:dyDescent="0.3">
      <c r="A21" s="4" t="s">
        <v>29</v>
      </c>
      <c r="B21" s="14"/>
      <c r="C21" s="14"/>
      <c r="D21" s="14"/>
      <c r="E21" s="15"/>
      <c r="F21" s="15">
        <v>266</v>
      </c>
      <c r="G21" s="15">
        <v>754</v>
      </c>
      <c r="H21" s="16">
        <v>458</v>
      </c>
      <c r="I21" s="13"/>
      <c r="J21" s="23" t="s">
        <v>29</v>
      </c>
      <c r="K21" s="17" t="str">
        <f>IF(B21="","",B21/$B$68)</f>
        <v/>
      </c>
      <c r="L21" s="17" t="str">
        <f>IF(C21="","",C21/$C$68)</f>
        <v/>
      </c>
      <c r="M21" s="17" t="str">
        <f>IF(D21="","",D21/$D$68)</f>
        <v/>
      </c>
      <c r="N21" s="18" t="str">
        <f>IF(E21="","",E21/$E$68)</f>
        <v/>
      </c>
      <c r="O21" s="18">
        <f>IF(F21="","",F21/$F$68)</f>
        <v>9.5</v>
      </c>
      <c r="P21" s="18">
        <f>IF(G21="","",G21/$G$68)</f>
        <v>24.322580645161292</v>
      </c>
      <c r="Q21" s="19">
        <f>IF(H21="","",H21/$H$68)</f>
        <v>35.230769230769234</v>
      </c>
    </row>
    <row r="22" spans="1:17" x14ac:dyDescent="0.3">
      <c r="A22" s="4" t="s">
        <v>30</v>
      </c>
      <c r="B22" s="14">
        <v>867</v>
      </c>
      <c r="C22" s="14">
        <v>836</v>
      </c>
      <c r="D22" s="14">
        <v>831</v>
      </c>
      <c r="E22" s="15">
        <v>1308</v>
      </c>
      <c r="F22" s="15">
        <v>994</v>
      </c>
      <c r="G22" s="15">
        <v>972</v>
      </c>
      <c r="H22" s="16">
        <v>448</v>
      </c>
      <c r="I22" s="13"/>
      <c r="J22" s="23" t="s">
        <v>30</v>
      </c>
      <c r="K22" s="17">
        <f>IF(B22="","",B22/$B$68)</f>
        <v>27.967741935483872</v>
      </c>
      <c r="L22" s="17">
        <f>IF(C22="","",C22/$C$68)</f>
        <v>27.866666666666667</v>
      </c>
      <c r="M22" s="17">
        <f>IF(D22="","",D22/$D$68)</f>
        <v>26.806451612903224</v>
      </c>
      <c r="N22" s="18">
        <f>IF(E22="","",E22/$E$68)</f>
        <v>42.193548387096776</v>
      </c>
      <c r="O22" s="18">
        <f>IF(F22="","",F22/$F$68)</f>
        <v>35.5</v>
      </c>
      <c r="P22" s="18">
        <f>IF(G22="","",G22/$G$68)</f>
        <v>31.35483870967742</v>
      </c>
      <c r="Q22" s="19">
        <f>IF(H22="","",H22/$H$68)</f>
        <v>34.46153846153846</v>
      </c>
    </row>
    <row r="23" spans="1:17" x14ac:dyDescent="0.3">
      <c r="A23" s="4" t="s">
        <v>31</v>
      </c>
      <c r="B23" s="14"/>
      <c r="C23" s="14"/>
      <c r="D23" s="14">
        <v>1</v>
      </c>
      <c r="E23" s="15">
        <v>257</v>
      </c>
      <c r="F23" s="15">
        <v>810</v>
      </c>
      <c r="G23" s="15">
        <v>948</v>
      </c>
      <c r="H23" s="16">
        <v>395</v>
      </c>
      <c r="I23" s="13"/>
      <c r="J23" s="23" t="s">
        <v>31</v>
      </c>
      <c r="K23" s="17" t="str">
        <f>IF(B23="","",B23/$B$68)</f>
        <v/>
      </c>
      <c r="L23" s="17" t="str">
        <f>IF(C23="","",C23/$C$68)</f>
        <v/>
      </c>
      <c r="M23" s="17">
        <f>IF(D23="","",D23/$D$68)</f>
        <v>3.2258064516129031E-2</v>
      </c>
      <c r="N23" s="18">
        <f>IF(E23="","",E23/$E$68)</f>
        <v>8.2903225806451619</v>
      </c>
      <c r="O23" s="18">
        <f>IF(F23="","",F23/$F$68)</f>
        <v>28.928571428571427</v>
      </c>
      <c r="P23" s="18">
        <f>IF(G23="","",G23/$G$68)</f>
        <v>30.580645161290324</v>
      </c>
      <c r="Q23" s="19">
        <f>IF(H23="","",H23/$H$68)</f>
        <v>30.384615384615383</v>
      </c>
    </row>
    <row r="24" spans="1:17" x14ac:dyDescent="0.3">
      <c r="A24" s="4" t="s">
        <v>32</v>
      </c>
      <c r="B24" s="14">
        <v>896</v>
      </c>
      <c r="C24" s="14">
        <v>506</v>
      </c>
      <c r="D24" s="14">
        <v>711</v>
      </c>
      <c r="E24" s="15">
        <v>581</v>
      </c>
      <c r="F24" s="15">
        <v>515</v>
      </c>
      <c r="G24" s="15">
        <v>692</v>
      </c>
      <c r="H24" s="16">
        <v>327</v>
      </c>
      <c r="I24" s="13"/>
      <c r="J24" s="23" t="s">
        <v>32</v>
      </c>
      <c r="K24" s="17">
        <f>IF(B24="","",B24/$B$68)</f>
        <v>28.903225806451612</v>
      </c>
      <c r="L24" s="17">
        <f>IF(C24="","",C24/$C$68)</f>
        <v>16.866666666666667</v>
      </c>
      <c r="M24" s="17">
        <f>IF(D24="","",D24/$D$68)</f>
        <v>22.93548387096774</v>
      </c>
      <c r="N24" s="18">
        <f>IF(E24="","",E24/$E$68)</f>
        <v>18.741935483870968</v>
      </c>
      <c r="O24" s="18">
        <f>IF(F24="","",F24/$F$68)</f>
        <v>18.392857142857142</v>
      </c>
      <c r="P24" s="18">
        <f>IF(G24="","",G24/$G$68)</f>
        <v>22.322580645161292</v>
      </c>
      <c r="Q24" s="19">
        <f>IF(H24="","",H24/$H$68)</f>
        <v>25.153846153846153</v>
      </c>
    </row>
    <row r="25" spans="1:17" x14ac:dyDescent="0.3">
      <c r="A25" s="4" t="s">
        <v>33</v>
      </c>
      <c r="B25" s="14">
        <v>73</v>
      </c>
      <c r="C25" s="14">
        <v>63</v>
      </c>
      <c r="D25" s="14"/>
      <c r="E25" s="15">
        <v>642</v>
      </c>
      <c r="F25" s="15">
        <v>556</v>
      </c>
      <c r="G25" s="15">
        <v>697</v>
      </c>
      <c r="H25" s="16">
        <v>311</v>
      </c>
      <c r="I25" s="13"/>
      <c r="J25" s="23" t="s">
        <v>33</v>
      </c>
      <c r="K25" s="17">
        <f>IF(B25="","",B25/$B$68)</f>
        <v>2.3548387096774195</v>
      </c>
      <c r="L25" s="17">
        <f>IF(C25="","",C25/$C$68)</f>
        <v>2.1</v>
      </c>
      <c r="M25" s="17" t="str">
        <f>IF(D25="","",D25/$D$68)</f>
        <v/>
      </c>
      <c r="N25" s="18">
        <f>IF(E25="","",E25/$E$68)</f>
        <v>20.70967741935484</v>
      </c>
      <c r="O25" s="18">
        <f>IF(F25="","",F25/$F$68)</f>
        <v>19.857142857142858</v>
      </c>
      <c r="P25" s="18">
        <f>IF(G25="","",G25/$G$68)</f>
        <v>22.483870967741936</v>
      </c>
      <c r="Q25" s="19">
        <f>IF(H25="","",H25/$H$68)</f>
        <v>23.923076923076923</v>
      </c>
    </row>
    <row r="26" spans="1:17" x14ac:dyDescent="0.3">
      <c r="A26" s="4" t="s">
        <v>34</v>
      </c>
      <c r="B26" s="14"/>
      <c r="C26" s="14"/>
      <c r="D26" s="14"/>
      <c r="E26" s="15">
        <v>3</v>
      </c>
      <c r="F26" s="15">
        <v>3</v>
      </c>
      <c r="G26" s="15">
        <v>534</v>
      </c>
      <c r="H26" s="16">
        <v>296</v>
      </c>
      <c r="I26" s="13"/>
      <c r="J26" s="23" t="s">
        <v>34</v>
      </c>
      <c r="K26" s="17" t="str">
        <f>IF(B26="","",B26/$B$68)</f>
        <v/>
      </c>
      <c r="L26" s="17" t="str">
        <f>IF(C26="","",C26/$C$68)</f>
        <v/>
      </c>
      <c r="M26" s="17" t="str">
        <f>IF(D26="","",D26/$D$68)</f>
        <v/>
      </c>
      <c r="N26" s="18">
        <f>IF(E26="","",E26/$E$68)</f>
        <v>9.6774193548387094E-2</v>
      </c>
      <c r="O26" s="18">
        <f>IF(F26="","",F26/$F$68)</f>
        <v>0.10714285714285714</v>
      </c>
      <c r="P26" s="18">
        <f>IF(G26="","",G26/$G$68)</f>
        <v>17.225806451612904</v>
      </c>
      <c r="Q26" s="19">
        <f>IF(H26="","",H26/$H$68)</f>
        <v>22.76923076923077</v>
      </c>
    </row>
    <row r="27" spans="1:17" x14ac:dyDescent="0.3">
      <c r="A27" s="4" t="s">
        <v>35</v>
      </c>
      <c r="B27" s="14"/>
      <c r="C27" s="14"/>
      <c r="D27" s="14">
        <v>6</v>
      </c>
      <c r="E27" s="15">
        <v>111</v>
      </c>
      <c r="F27" s="15">
        <v>661</v>
      </c>
      <c r="G27" s="15">
        <v>711</v>
      </c>
      <c r="H27" s="16">
        <v>262</v>
      </c>
      <c r="I27" s="13"/>
      <c r="J27" s="23" t="s">
        <v>35</v>
      </c>
      <c r="K27" s="17" t="str">
        <f>IF(B27="","",B27/$B$68)</f>
        <v/>
      </c>
      <c r="L27" s="17" t="str">
        <f>IF(C27="","",C27/$C$68)</f>
        <v/>
      </c>
      <c r="M27" s="17">
        <f>IF(D27="","",D27/$D$68)</f>
        <v>0.19354838709677419</v>
      </c>
      <c r="N27" s="18">
        <f>IF(E27="","",E27/$E$68)</f>
        <v>3.5806451612903225</v>
      </c>
      <c r="O27" s="18">
        <f>IF(F27="","",F27/$F$68)</f>
        <v>23.607142857142858</v>
      </c>
      <c r="P27" s="18">
        <f>IF(G27="","",G27/$G$68)</f>
        <v>22.93548387096774</v>
      </c>
      <c r="Q27" s="19">
        <f>IF(H27="","",H27/$H$68)</f>
        <v>20.153846153846153</v>
      </c>
    </row>
    <row r="28" spans="1:17" x14ac:dyDescent="0.3">
      <c r="A28" s="4" t="s">
        <v>36</v>
      </c>
      <c r="B28" s="14"/>
      <c r="C28" s="14"/>
      <c r="D28" s="14">
        <v>274</v>
      </c>
      <c r="E28" s="15">
        <v>160</v>
      </c>
      <c r="F28" s="15">
        <v>107</v>
      </c>
      <c r="G28" s="15">
        <v>382</v>
      </c>
      <c r="H28" s="16">
        <v>250</v>
      </c>
      <c r="I28" s="13"/>
      <c r="J28" s="23" t="s">
        <v>36</v>
      </c>
      <c r="K28" s="17" t="str">
        <f>IF(B28="","",B28/$B$68)</f>
        <v/>
      </c>
      <c r="L28" s="17" t="str">
        <f>IF(C28="","",C28/$C$68)</f>
        <v/>
      </c>
      <c r="M28" s="17">
        <f>IF(D28="","",D28/$D$68)</f>
        <v>8.8387096774193541</v>
      </c>
      <c r="N28" s="18">
        <f>IF(E28="","",E28/$E$68)</f>
        <v>5.161290322580645</v>
      </c>
      <c r="O28" s="18">
        <f>IF(F28="","",F28/$F$68)</f>
        <v>3.8214285714285716</v>
      </c>
      <c r="P28" s="18">
        <f>IF(G28="","",G28/$G$68)</f>
        <v>12.32258064516129</v>
      </c>
      <c r="Q28" s="19">
        <f>IF(H28="","",H28/$H$68)</f>
        <v>19.23076923076923</v>
      </c>
    </row>
    <row r="29" spans="1:17" x14ac:dyDescent="0.3">
      <c r="A29" s="4" t="s">
        <v>37</v>
      </c>
      <c r="B29" s="14"/>
      <c r="C29" s="14"/>
      <c r="D29" s="14"/>
      <c r="E29" s="15">
        <v>2</v>
      </c>
      <c r="F29" s="15"/>
      <c r="G29" s="15">
        <v>8</v>
      </c>
      <c r="H29" s="16">
        <v>231</v>
      </c>
      <c r="I29" s="13"/>
      <c r="J29" s="23" t="s">
        <v>37</v>
      </c>
      <c r="K29" s="17" t="str">
        <f>IF(B29="","",B29/$B$68)</f>
        <v/>
      </c>
      <c r="L29" s="17" t="str">
        <f>IF(C29="","",C29/$C$68)</f>
        <v/>
      </c>
      <c r="M29" s="17" t="str">
        <f>IF(D29="","",D29/$D$68)</f>
        <v/>
      </c>
      <c r="N29" s="18">
        <f>IF(E29="","",E29/$E$68)</f>
        <v>6.4516129032258063E-2</v>
      </c>
      <c r="O29" s="18" t="str">
        <f>IF(F29="","",F29/$F$68)</f>
        <v/>
      </c>
      <c r="P29" s="18">
        <f>IF(G29="","",G29/$G$68)</f>
        <v>0.25806451612903225</v>
      </c>
      <c r="Q29" s="19">
        <f>IF(H29="","",H29/$H$68)</f>
        <v>17.76923076923077</v>
      </c>
    </row>
    <row r="30" spans="1:17" x14ac:dyDescent="0.3">
      <c r="A30" s="4" t="s">
        <v>38</v>
      </c>
      <c r="B30" s="14">
        <v>70</v>
      </c>
      <c r="C30" s="14">
        <v>265</v>
      </c>
      <c r="D30" s="14">
        <v>295</v>
      </c>
      <c r="E30" s="15">
        <v>339</v>
      </c>
      <c r="F30" s="15">
        <v>506</v>
      </c>
      <c r="G30" s="15">
        <v>591</v>
      </c>
      <c r="H30" s="16">
        <v>190</v>
      </c>
      <c r="I30" s="13"/>
      <c r="J30" s="23" t="s">
        <v>38</v>
      </c>
      <c r="K30" s="17">
        <f>IF(B30="","",B30/$B$68)</f>
        <v>2.2580645161290325</v>
      </c>
      <c r="L30" s="17">
        <f>IF(C30="","",C30/$C$68)</f>
        <v>8.8333333333333339</v>
      </c>
      <c r="M30" s="17">
        <f>IF(D30="","",D30/$D$68)</f>
        <v>9.5161290322580641</v>
      </c>
      <c r="N30" s="18">
        <f>IF(E30="","",E30/$E$68)</f>
        <v>10.935483870967742</v>
      </c>
      <c r="O30" s="18">
        <f>IF(F30="","",F30/$F$68)</f>
        <v>18.071428571428573</v>
      </c>
      <c r="P30" s="18">
        <f>IF(G30="","",G30/$G$68)</f>
        <v>19.06451612903226</v>
      </c>
      <c r="Q30" s="19">
        <f>IF(H30="","",H30/$H$68)</f>
        <v>14.615384615384615</v>
      </c>
    </row>
    <row r="31" spans="1:17" x14ac:dyDescent="0.3">
      <c r="A31" s="4" t="s">
        <v>39</v>
      </c>
      <c r="B31" s="14"/>
      <c r="C31" s="14"/>
      <c r="D31" s="14">
        <v>121</v>
      </c>
      <c r="E31" s="15">
        <v>688</v>
      </c>
      <c r="F31" s="15">
        <v>478</v>
      </c>
      <c r="G31" s="15">
        <v>478</v>
      </c>
      <c r="H31" s="16">
        <v>184</v>
      </c>
      <c r="I31" s="13"/>
      <c r="J31" s="23" t="s">
        <v>39</v>
      </c>
      <c r="K31" s="17" t="str">
        <f>IF(B31="","",B31/$B$68)</f>
        <v/>
      </c>
      <c r="L31" s="17" t="str">
        <f>IF(C31="","",C31/$C$68)</f>
        <v/>
      </c>
      <c r="M31" s="17">
        <f>IF(D31="","",D31/$D$68)</f>
        <v>3.903225806451613</v>
      </c>
      <c r="N31" s="18">
        <f>IF(E31="","",E31/$E$68)</f>
        <v>22.193548387096776</v>
      </c>
      <c r="O31" s="18">
        <f>IF(F31="","",F31/$F$68)</f>
        <v>17.071428571428573</v>
      </c>
      <c r="P31" s="18">
        <f>IF(G31="","",G31/$G$68)</f>
        <v>15.419354838709678</v>
      </c>
      <c r="Q31" s="19">
        <f>IF(H31="","",H31/$H$68)</f>
        <v>14.153846153846153</v>
      </c>
    </row>
    <row r="32" spans="1:17" x14ac:dyDescent="0.3">
      <c r="A32" s="4" t="s">
        <v>40</v>
      </c>
      <c r="B32" s="14"/>
      <c r="C32" s="14"/>
      <c r="D32" s="14"/>
      <c r="E32" s="15">
        <v>253</v>
      </c>
      <c r="F32" s="15">
        <v>454</v>
      </c>
      <c r="G32" s="15">
        <v>329</v>
      </c>
      <c r="H32" s="16">
        <v>185</v>
      </c>
      <c r="I32" s="13"/>
      <c r="J32" s="23" t="s">
        <v>40</v>
      </c>
      <c r="K32" s="17" t="str">
        <f>IF(B32="","",B32/$B$68)</f>
        <v/>
      </c>
      <c r="L32" s="17" t="str">
        <f>IF(C32="","",C32/$C$68)</f>
        <v/>
      </c>
      <c r="M32" s="17" t="str">
        <f>IF(D32="","",D32/$D$68)</f>
        <v/>
      </c>
      <c r="N32" s="18">
        <f>IF(E32="","",E32/$E$68)</f>
        <v>8.1612903225806459</v>
      </c>
      <c r="O32" s="18">
        <f>IF(F32="","",F32/$F$68)</f>
        <v>16.214285714285715</v>
      </c>
      <c r="P32" s="18">
        <f>IF(G32="","",G32/$G$68)</f>
        <v>10.612903225806452</v>
      </c>
      <c r="Q32" s="19">
        <f>IF(H32="","",H32/$H$68)</f>
        <v>14.23076923076923</v>
      </c>
    </row>
    <row r="33" spans="1:17" x14ac:dyDescent="0.3">
      <c r="A33" s="4" t="s">
        <v>41</v>
      </c>
      <c r="B33" s="14"/>
      <c r="C33" s="14"/>
      <c r="D33" s="14"/>
      <c r="E33" s="15"/>
      <c r="F33" s="15">
        <v>11</v>
      </c>
      <c r="G33" s="15">
        <v>79</v>
      </c>
      <c r="H33" s="16">
        <v>171</v>
      </c>
      <c r="I33" s="13"/>
      <c r="J33" s="23" t="s">
        <v>41</v>
      </c>
      <c r="K33" s="17" t="str">
        <f>IF(B33="","",B33/$B$68)</f>
        <v/>
      </c>
      <c r="L33" s="17" t="str">
        <f>IF(C33="","",C33/$C$68)</f>
        <v/>
      </c>
      <c r="M33" s="17" t="str">
        <f>IF(D33="","",D33/$D$68)</f>
        <v/>
      </c>
      <c r="N33" s="18" t="str">
        <f>IF(E33="","",E33/$E$68)</f>
        <v/>
      </c>
      <c r="O33" s="18">
        <f>IF(F33="","",F33/$F$68)</f>
        <v>0.39285714285714285</v>
      </c>
      <c r="P33" s="18">
        <f>IF(G33="","",G33/$G$68)</f>
        <v>2.5483870967741935</v>
      </c>
      <c r="Q33" s="19">
        <f>IF(H33="","",H33/$H$68)</f>
        <v>13.153846153846153</v>
      </c>
    </row>
    <row r="34" spans="1:17" x14ac:dyDescent="0.3">
      <c r="A34" s="4" t="s">
        <v>42</v>
      </c>
      <c r="B34" s="14"/>
      <c r="C34" s="14"/>
      <c r="D34" s="14">
        <v>282</v>
      </c>
      <c r="E34" s="15">
        <v>414</v>
      </c>
      <c r="F34" s="15">
        <v>455</v>
      </c>
      <c r="G34" s="15">
        <v>392</v>
      </c>
      <c r="H34" s="16">
        <v>165</v>
      </c>
      <c r="I34" s="13"/>
      <c r="J34" s="23" t="s">
        <v>42</v>
      </c>
      <c r="K34" s="17" t="str">
        <f>IF(B34="","",B34/$B$68)</f>
        <v/>
      </c>
      <c r="L34" s="17" t="str">
        <f>IF(C34="","",C34/$C$68)</f>
        <v/>
      </c>
      <c r="M34" s="17">
        <f>IF(D34="","",D34/$D$68)</f>
        <v>9.0967741935483879</v>
      </c>
      <c r="N34" s="18">
        <f>IF(E34="","",E34/$E$68)</f>
        <v>13.35483870967742</v>
      </c>
      <c r="O34" s="18">
        <f>IF(F34="","",F34/$F$68)</f>
        <v>16.25</v>
      </c>
      <c r="P34" s="18">
        <f>IF(G34="","",G34/$G$68)</f>
        <v>12.64516129032258</v>
      </c>
      <c r="Q34" s="19">
        <f>IF(H34="","",H34/$H$68)</f>
        <v>12.692307692307692</v>
      </c>
    </row>
    <row r="35" spans="1:17" x14ac:dyDescent="0.3">
      <c r="A35" s="4" t="s">
        <v>43</v>
      </c>
      <c r="B35" s="14">
        <v>408</v>
      </c>
      <c r="C35" s="14">
        <v>226</v>
      </c>
      <c r="D35" s="14">
        <v>175</v>
      </c>
      <c r="E35" s="15">
        <v>320</v>
      </c>
      <c r="F35" s="15">
        <v>299</v>
      </c>
      <c r="G35" s="15">
        <v>376</v>
      </c>
      <c r="H35" s="16">
        <v>125</v>
      </c>
      <c r="I35" s="13"/>
      <c r="J35" s="23" t="s">
        <v>43</v>
      </c>
      <c r="K35" s="17">
        <f>IF(B35="","",B35/$B$68)</f>
        <v>13.161290322580646</v>
      </c>
      <c r="L35" s="17">
        <f>IF(C35="","",C35/$C$68)</f>
        <v>7.5333333333333332</v>
      </c>
      <c r="M35" s="17">
        <f>IF(D35="","",D35/$D$68)</f>
        <v>5.645161290322581</v>
      </c>
      <c r="N35" s="18">
        <f>IF(E35="","",E35/$E$68)</f>
        <v>10.32258064516129</v>
      </c>
      <c r="O35" s="18">
        <f>IF(F35="","",F35/$F$68)</f>
        <v>10.678571428571429</v>
      </c>
      <c r="P35" s="18">
        <f>IF(G35="","",G35/$G$68)</f>
        <v>12.129032258064516</v>
      </c>
      <c r="Q35" s="19">
        <f>IF(H35="","",H35/$H$68)</f>
        <v>9.615384615384615</v>
      </c>
    </row>
    <row r="36" spans="1:17" x14ac:dyDescent="0.3">
      <c r="A36" s="4" t="s">
        <v>44</v>
      </c>
      <c r="B36" s="14"/>
      <c r="C36" s="14"/>
      <c r="D36" s="14">
        <v>226</v>
      </c>
      <c r="E36" s="15">
        <v>528</v>
      </c>
      <c r="F36" s="15">
        <v>428</v>
      </c>
      <c r="G36" s="15">
        <v>475</v>
      </c>
      <c r="H36" s="16">
        <v>124</v>
      </c>
      <c r="I36" s="13"/>
      <c r="J36" s="23" t="s">
        <v>44</v>
      </c>
      <c r="K36" s="17" t="str">
        <f>IF(B36="","",B36/$B$68)</f>
        <v/>
      </c>
      <c r="L36" s="17" t="str">
        <f>IF(C36="","",C36/$C$68)</f>
        <v/>
      </c>
      <c r="M36" s="17">
        <f>IF(D36="","",D36/$D$68)</f>
        <v>7.290322580645161</v>
      </c>
      <c r="N36" s="18">
        <f>IF(E36="","",E36/$E$68)</f>
        <v>17.032258064516128</v>
      </c>
      <c r="O36" s="18">
        <f>IF(F36="","",F36/$F$68)</f>
        <v>15.285714285714286</v>
      </c>
      <c r="P36" s="18">
        <f>IF(G36="","",G36/$G$68)</f>
        <v>15.32258064516129</v>
      </c>
      <c r="Q36" s="19">
        <f>IF(H36="","",H36/$H$68)</f>
        <v>9.5384615384615383</v>
      </c>
    </row>
    <row r="37" spans="1:17" x14ac:dyDescent="0.3">
      <c r="A37" s="4" t="s">
        <v>45</v>
      </c>
      <c r="B37" s="14">
        <v>152</v>
      </c>
      <c r="C37" s="14">
        <v>95</v>
      </c>
      <c r="D37" s="14">
        <v>276</v>
      </c>
      <c r="E37" s="15">
        <v>125</v>
      </c>
      <c r="F37" s="15">
        <v>111</v>
      </c>
      <c r="G37" s="15">
        <v>239</v>
      </c>
      <c r="H37" s="16">
        <v>116</v>
      </c>
      <c r="I37" s="13"/>
      <c r="J37" s="23" t="s">
        <v>45</v>
      </c>
      <c r="K37" s="17">
        <f>IF(B37="","",B37/$B$68)</f>
        <v>4.903225806451613</v>
      </c>
      <c r="L37" s="17">
        <f>IF(C37="","",C37/$C$68)</f>
        <v>3.1666666666666665</v>
      </c>
      <c r="M37" s="17">
        <f>IF(D37="","",D37/$D$68)</f>
        <v>8.9032258064516121</v>
      </c>
      <c r="N37" s="18">
        <f>IF(E37="","",E37/$E$68)</f>
        <v>4.032258064516129</v>
      </c>
      <c r="O37" s="18">
        <f>IF(F37="","",F37/$F$68)</f>
        <v>3.9642857142857144</v>
      </c>
      <c r="P37" s="18">
        <f>IF(G37="","",G37/$G$68)</f>
        <v>7.709677419354839</v>
      </c>
      <c r="Q37" s="19">
        <f>IF(H37="","",H37/$H$68)</f>
        <v>8.9230769230769234</v>
      </c>
    </row>
    <row r="38" spans="1:17" x14ac:dyDescent="0.3">
      <c r="A38" s="4" t="s">
        <v>46</v>
      </c>
      <c r="B38" s="14">
        <v>94</v>
      </c>
      <c r="C38" s="14">
        <v>161</v>
      </c>
      <c r="D38" s="14">
        <v>247</v>
      </c>
      <c r="E38" s="15">
        <v>131</v>
      </c>
      <c r="F38" s="15">
        <v>147</v>
      </c>
      <c r="G38" s="15">
        <v>188</v>
      </c>
      <c r="H38" s="16">
        <v>101</v>
      </c>
      <c r="I38" s="13"/>
      <c r="J38" s="23" t="s">
        <v>46</v>
      </c>
      <c r="K38" s="17">
        <f>IF(B38="","",B38/$B$68)</f>
        <v>3.032258064516129</v>
      </c>
      <c r="L38" s="17">
        <f>IF(C38="","",C38/$C$68)</f>
        <v>5.3666666666666663</v>
      </c>
      <c r="M38" s="17">
        <f>IF(D38="","",D38/$D$68)</f>
        <v>7.967741935483871</v>
      </c>
      <c r="N38" s="18">
        <f>IF(E38="","",E38/$E$68)</f>
        <v>4.225806451612903</v>
      </c>
      <c r="O38" s="18">
        <f>IF(F38="","",F38/$F$68)</f>
        <v>5.25</v>
      </c>
      <c r="P38" s="18">
        <f>IF(G38="","",G38/$G$68)</f>
        <v>6.064516129032258</v>
      </c>
      <c r="Q38" s="19">
        <f>IF(H38="","",H38/$H$68)</f>
        <v>7.7692307692307692</v>
      </c>
    </row>
    <row r="39" spans="1:17" x14ac:dyDescent="0.3">
      <c r="A39" s="4" t="s">
        <v>47</v>
      </c>
      <c r="B39" s="14"/>
      <c r="C39" s="14">
        <v>11</v>
      </c>
      <c r="D39" s="14">
        <v>214</v>
      </c>
      <c r="E39" s="15">
        <v>338</v>
      </c>
      <c r="F39" s="15">
        <v>119</v>
      </c>
      <c r="G39" s="15">
        <v>104</v>
      </c>
      <c r="H39" s="16">
        <v>96</v>
      </c>
      <c r="I39" s="13"/>
      <c r="J39" s="23" t="s">
        <v>47</v>
      </c>
      <c r="K39" s="17" t="str">
        <f>IF(B39="","",B39/$B$68)</f>
        <v/>
      </c>
      <c r="L39" s="17">
        <f>IF(C39="","",C39/$C$68)</f>
        <v>0.36666666666666664</v>
      </c>
      <c r="M39" s="17">
        <f>IF(D39="","",D39/$D$68)</f>
        <v>6.903225806451613</v>
      </c>
      <c r="N39" s="18">
        <f>IF(E39="","",E39/$E$68)</f>
        <v>10.903225806451612</v>
      </c>
      <c r="O39" s="18">
        <f>IF(F39="","",F39/$F$68)</f>
        <v>4.25</v>
      </c>
      <c r="P39" s="18">
        <f>IF(G39="","",G39/$G$68)</f>
        <v>3.3548387096774195</v>
      </c>
      <c r="Q39" s="19">
        <f>IF(H39="","",H39/$H$68)</f>
        <v>7.384615384615385</v>
      </c>
    </row>
    <row r="40" spans="1:17" x14ac:dyDescent="0.3">
      <c r="A40" s="4" t="s">
        <v>48</v>
      </c>
      <c r="B40" s="14"/>
      <c r="C40" s="14"/>
      <c r="D40" s="14">
        <v>74</v>
      </c>
      <c r="E40" s="15">
        <v>313</v>
      </c>
      <c r="F40" s="15">
        <v>152</v>
      </c>
      <c r="G40" s="15">
        <v>139</v>
      </c>
      <c r="H40" s="16">
        <v>45</v>
      </c>
      <c r="I40" s="13"/>
      <c r="J40" s="23" t="s">
        <v>48</v>
      </c>
      <c r="K40" s="17" t="str">
        <f>IF(B40="","",B40/$B$68)</f>
        <v/>
      </c>
      <c r="L40" s="17" t="str">
        <f>IF(C40="","",C40/$C$68)</f>
        <v/>
      </c>
      <c r="M40" s="17">
        <f>IF(D40="","",D40/$D$68)</f>
        <v>2.3870967741935485</v>
      </c>
      <c r="N40" s="18">
        <f>IF(E40="","",E40/$E$68)</f>
        <v>10.096774193548388</v>
      </c>
      <c r="O40" s="18">
        <f>IF(F40="","",F40/$F$68)</f>
        <v>5.4285714285714288</v>
      </c>
      <c r="P40" s="18">
        <f>IF(G40="","",G40/$G$68)</f>
        <v>4.4838709677419351</v>
      </c>
      <c r="Q40" s="19">
        <f>IF(H40="","",H40/$H$68)</f>
        <v>3.4615384615384617</v>
      </c>
    </row>
    <row r="41" spans="1:17" x14ac:dyDescent="0.3">
      <c r="A41" s="4" t="s">
        <v>49</v>
      </c>
      <c r="B41" s="14">
        <v>167</v>
      </c>
      <c r="C41" s="14">
        <v>60</v>
      </c>
      <c r="D41" s="14">
        <v>124</v>
      </c>
      <c r="E41" s="15">
        <v>89</v>
      </c>
      <c r="F41" s="15">
        <v>246</v>
      </c>
      <c r="G41" s="15">
        <v>319</v>
      </c>
      <c r="H41" s="16">
        <v>44</v>
      </c>
      <c r="I41" s="13"/>
      <c r="J41" s="23" t="s">
        <v>49</v>
      </c>
      <c r="K41" s="17">
        <f>IF(B41="","",B41/$B$68)</f>
        <v>5.387096774193548</v>
      </c>
      <c r="L41" s="17">
        <f>IF(C41="","",C41/$C$68)</f>
        <v>2</v>
      </c>
      <c r="M41" s="17">
        <f>IF(D41="","",D41/$D$68)</f>
        <v>4</v>
      </c>
      <c r="N41" s="18">
        <f>IF(E41="","",E41/$E$68)</f>
        <v>2.870967741935484</v>
      </c>
      <c r="O41" s="18">
        <f>IF(F41="","",F41/$F$68)</f>
        <v>8.7857142857142865</v>
      </c>
      <c r="P41" s="18">
        <f>IF(G41="","",G41/$G$68)</f>
        <v>10.290322580645162</v>
      </c>
      <c r="Q41" s="19">
        <f>IF(H41="","",H41/$H$68)</f>
        <v>3.3846153846153846</v>
      </c>
    </row>
    <row r="42" spans="1:17" x14ac:dyDescent="0.3">
      <c r="A42" s="4" t="s">
        <v>50</v>
      </c>
      <c r="B42" s="14"/>
      <c r="C42" s="14"/>
      <c r="D42" s="14"/>
      <c r="E42" s="15">
        <v>57</v>
      </c>
      <c r="F42" s="15">
        <v>87</v>
      </c>
      <c r="G42" s="15">
        <v>103</v>
      </c>
      <c r="H42" s="16">
        <v>43</v>
      </c>
      <c r="I42" s="13"/>
      <c r="J42" s="23" t="s">
        <v>50</v>
      </c>
      <c r="K42" s="17" t="str">
        <f>IF(B42="","",B42/$B$68)</f>
        <v/>
      </c>
      <c r="L42" s="17" t="str">
        <f>IF(C42="","",C42/$C$68)</f>
        <v/>
      </c>
      <c r="M42" s="17" t="str">
        <f>IF(D42="","",D42/$D$68)</f>
        <v/>
      </c>
      <c r="N42" s="18">
        <f>IF(E42="","",E42/$E$68)</f>
        <v>1.8387096774193548</v>
      </c>
      <c r="O42" s="18">
        <f>IF(F42="","",F42/$F$68)</f>
        <v>3.1071428571428572</v>
      </c>
      <c r="P42" s="18">
        <f>IF(G42="","",G42/$G$68)</f>
        <v>3.3225806451612905</v>
      </c>
      <c r="Q42" s="19">
        <f>IF(H42="","",H42/$H$68)</f>
        <v>3.3076923076923075</v>
      </c>
    </row>
    <row r="43" spans="1:17" x14ac:dyDescent="0.3">
      <c r="A43" s="4" t="s">
        <v>51</v>
      </c>
      <c r="B43" s="14"/>
      <c r="C43" s="14"/>
      <c r="D43" s="14"/>
      <c r="E43" s="15"/>
      <c r="F43" s="15">
        <v>1</v>
      </c>
      <c r="G43" s="15">
        <v>64</v>
      </c>
      <c r="H43" s="16">
        <v>40</v>
      </c>
      <c r="I43" s="13"/>
      <c r="J43" s="23" t="s">
        <v>51</v>
      </c>
      <c r="K43" s="17" t="str">
        <f>IF(B43="","",B43/$B$68)</f>
        <v/>
      </c>
      <c r="L43" s="17" t="str">
        <f>IF(C43="","",C43/$C$68)</f>
        <v/>
      </c>
      <c r="M43" s="17" t="str">
        <f>IF(D43="","",D43/$D$68)</f>
        <v/>
      </c>
      <c r="N43" s="18" t="str">
        <f>IF(E43="","",E43/$E$68)</f>
        <v/>
      </c>
      <c r="O43" s="18">
        <f>IF(F43="","",F43/$F$68)</f>
        <v>3.5714285714285712E-2</v>
      </c>
      <c r="P43" s="18">
        <f>IF(G43="","",G43/$G$68)</f>
        <v>2.064516129032258</v>
      </c>
      <c r="Q43" s="19">
        <f>IF(H43="","",H43/$H$68)</f>
        <v>3.0769230769230771</v>
      </c>
    </row>
    <row r="44" spans="1:17" x14ac:dyDescent="0.3">
      <c r="A44" s="4" t="s">
        <v>52</v>
      </c>
      <c r="B44" s="14"/>
      <c r="C44" s="14"/>
      <c r="D44" s="14"/>
      <c r="E44" s="15"/>
      <c r="F44" s="15">
        <v>55</v>
      </c>
      <c r="G44" s="15">
        <v>140</v>
      </c>
      <c r="H44" s="16">
        <v>37</v>
      </c>
      <c r="I44" s="13"/>
      <c r="J44" s="23" t="s">
        <v>52</v>
      </c>
      <c r="K44" s="17" t="str">
        <f>IF(B44="","",B44/$B$68)</f>
        <v/>
      </c>
      <c r="L44" s="17" t="str">
        <f>IF(C44="","",C44/$C$68)</f>
        <v/>
      </c>
      <c r="M44" s="17" t="str">
        <f>IF(D44="","",D44/$D$68)</f>
        <v/>
      </c>
      <c r="N44" s="18" t="str">
        <f>IF(E44="","",E44/$E$68)</f>
        <v/>
      </c>
      <c r="O44" s="18">
        <f>IF(F44="","",F44/$F$68)</f>
        <v>1.9642857142857142</v>
      </c>
      <c r="P44" s="18">
        <f>IF(G44="","",G44/$G$68)</f>
        <v>4.5161290322580649</v>
      </c>
      <c r="Q44" s="19">
        <f>IF(H44="","",H44/$H$68)</f>
        <v>2.8461538461538463</v>
      </c>
    </row>
    <row r="45" spans="1:17" x14ac:dyDescent="0.3">
      <c r="A45" s="4" t="s">
        <v>53</v>
      </c>
      <c r="B45" s="14">
        <v>298</v>
      </c>
      <c r="C45" s="14">
        <v>619</v>
      </c>
      <c r="D45" s="14">
        <v>885</v>
      </c>
      <c r="E45" s="15">
        <v>907</v>
      </c>
      <c r="F45" s="15">
        <v>425</v>
      </c>
      <c r="G45" s="15">
        <v>673</v>
      </c>
      <c r="H45" s="16">
        <v>31</v>
      </c>
      <c r="I45" s="13"/>
      <c r="J45" s="23" t="s">
        <v>53</v>
      </c>
      <c r="K45" s="17">
        <f>IF(B45="","",B45/$B$68)</f>
        <v>9.612903225806452</v>
      </c>
      <c r="L45" s="17">
        <f>IF(C45="","",C45/$C$68)</f>
        <v>20.633333333333333</v>
      </c>
      <c r="M45" s="17">
        <f>IF(D45="","",D45/$D$68)</f>
        <v>28.548387096774192</v>
      </c>
      <c r="N45" s="18">
        <f>IF(E45="","",E45/$E$68)</f>
        <v>29.258064516129032</v>
      </c>
      <c r="O45" s="18">
        <f>IF(F45="","",F45/$F$68)</f>
        <v>15.178571428571429</v>
      </c>
      <c r="P45" s="18">
        <f>IF(G45="","",G45/$G$68)</f>
        <v>21.70967741935484</v>
      </c>
      <c r="Q45" s="19">
        <f>IF(H45="","",H45/$H$68)</f>
        <v>2.3846153846153846</v>
      </c>
    </row>
    <row r="46" spans="1:17" x14ac:dyDescent="0.3">
      <c r="A46" s="4" t="s">
        <v>54</v>
      </c>
      <c r="B46" s="14">
        <v>20</v>
      </c>
      <c r="C46" s="14">
        <v>125</v>
      </c>
      <c r="D46" s="14">
        <v>13</v>
      </c>
      <c r="E46" s="15">
        <v>17</v>
      </c>
      <c r="F46" s="15">
        <v>5</v>
      </c>
      <c r="G46" s="15">
        <v>11</v>
      </c>
      <c r="H46" s="16">
        <v>31</v>
      </c>
      <c r="I46" s="13"/>
      <c r="J46" s="23" t="s">
        <v>54</v>
      </c>
      <c r="K46" s="17">
        <f>IF(B46="","",B46/$B$68)</f>
        <v>0.64516129032258063</v>
      </c>
      <c r="L46" s="17">
        <f>IF(C46="","",C46/$C$68)</f>
        <v>4.166666666666667</v>
      </c>
      <c r="M46" s="17">
        <f>IF(D46="","",D46/$D$68)</f>
        <v>0.41935483870967744</v>
      </c>
      <c r="N46" s="18">
        <f>IF(E46="","",E46/$E$68)</f>
        <v>0.54838709677419351</v>
      </c>
      <c r="O46" s="18">
        <f>IF(F46="","",F46/$F$68)</f>
        <v>0.17857142857142858</v>
      </c>
      <c r="P46" s="18">
        <f>IF(G46="","",G46/$G$68)</f>
        <v>0.35483870967741937</v>
      </c>
      <c r="Q46" s="19">
        <f>IF(H46="","",H46/$H$68)</f>
        <v>2.3846153846153846</v>
      </c>
    </row>
    <row r="47" spans="1:17" x14ac:dyDescent="0.3">
      <c r="A47" s="4" t="s">
        <v>55</v>
      </c>
      <c r="B47" s="14"/>
      <c r="C47" s="14"/>
      <c r="D47" s="14"/>
      <c r="E47" s="15">
        <v>1</v>
      </c>
      <c r="F47" s="15">
        <v>388</v>
      </c>
      <c r="G47" s="15">
        <v>805</v>
      </c>
      <c r="H47" s="16">
        <v>25</v>
      </c>
      <c r="I47" s="13"/>
      <c r="J47" s="23" t="s">
        <v>55</v>
      </c>
      <c r="K47" s="17" t="str">
        <f>IF(B47="","",B47/$B$68)</f>
        <v/>
      </c>
      <c r="L47" s="17" t="str">
        <f>IF(C47="","",C47/$C$68)</f>
        <v/>
      </c>
      <c r="M47" s="17" t="str">
        <f>IF(D47="","",D47/$D$68)</f>
        <v/>
      </c>
      <c r="N47" s="18">
        <f>IF(E47="","",E47/$E$68)</f>
        <v>3.2258064516129031E-2</v>
      </c>
      <c r="O47" s="18">
        <f>IF(F47="","",F47/$F$68)</f>
        <v>13.857142857142858</v>
      </c>
      <c r="P47" s="18">
        <f>IF(G47="","",G47/$G$68)</f>
        <v>25.967741935483872</v>
      </c>
      <c r="Q47" s="19">
        <f>IF(H47="","",H47/$H$68)</f>
        <v>1.9230769230769231</v>
      </c>
    </row>
    <row r="48" spans="1:17" x14ac:dyDescent="0.3">
      <c r="A48" s="4" t="s">
        <v>56</v>
      </c>
      <c r="B48" s="14"/>
      <c r="C48" s="14"/>
      <c r="D48" s="14"/>
      <c r="E48" s="15"/>
      <c r="F48" s="15"/>
      <c r="G48" s="15">
        <v>105</v>
      </c>
      <c r="H48" s="16">
        <v>23</v>
      </c>
      <c r="I48" s="13"/>
      <c r="J48" s="23" t="s">
        <v>56</v>
      </c>
      <c r="K48" s="17" t="str">
        <f>IF(B48="","",B48/$B$68)</f>
        <v/>
      </c>
      <c r="L48" s="17" t="str">
        <f>IF(C48="","",C48/$C$68)</f>
        <v/>
      </c>
      <c r="M48" s="17" t="str">
        <f>IF(D48="","",D48/$D$68)</f>
        <v/>
      </c>
      <c r="N48" s="18" t="str">
        <f>IF(E48="","",E48/$E$68)</f>
        <v/>
      </c>
      <c r="O48" s="18" t="str">
        <f>IF(F48="","",F48/$F$68)</f>
        <v/>
      </c>
      <c r="P48" s="18">
        <f>IF(G48="","",G48/$G$68)</f>
        <v>3.3870967741935485</v>
      </c>
      <c r="Q48" s="19">
        <f>IF(H48="","",H48/$H$68)</f>
        <v>1.7692307692307692</v>
      </c>
    </row>
    <row r="49" spans="1:17" x14ac:dyDescent="0.3">
      <c r="A49" s="4" t="s">
        <v>57</v>
      </c>
      <c r="B49" s="14">
        <v>1</v>
      </c>
      <c r="C49" s="14">
        <v>28</v>
      </c>
      <c r="D49" s="14">
        <v>377</v>
      </c>
      <c r="E49" s="15">
        <v>95</v>
      </c>
      <c r="F49" s="15">
        <v>624</v>
      </c>
      <c r="G49" s="15">
        <v>341</v>
      </c>
      <c r="H49" s="16">
        <v>21</v>
      </c>
      <c r="I49" s="13"/>
      <c r="J49" s="23" t="s">
        <v>57</v>
      </c>
      <c r="K49" s="17">
        <f>IF(B49="","",B49/$B$68)</f>
        <v>3.2258064516129031E-2</v>
      </c>
      <c r="L49" s="17">
        <f>IF(C49="","",C49/$C$68)</f>
        <v>0.93333333333333335</v>
      </c>
      <c r="M49" s="17">
        <f>IF(D49="","",D49/$D$68)</f>
        <v>12.161290322580646</v>
      </c>
      <c r="N49" s="18">
        <f>IF(E49="","",E49/$E$68)</f>
        <v>3.064516129032258</v>
      </c>
      <c r="O49" s="18">
        <f>IF(F49="","",F49/$F$68)</f>
        <v>22.285714285714285</v>
      </c>
      <c r="P49" s="18">
        <f>IF(G49="","",G49/$G$68)</f>
        <v>11</v>
      </c>
      <c r="Q49" s="19">
        <f>IF(H49="","",H49/$H$68)</f>
        <v>1.6153846153846154</v>
      </c>
    </row>
    <row r="50" spans="1:17" x14ac:dyDescent="0.3">
      <c r="A50" s="4" t="s">
        <v>58</v>
      </c>
      <c r="B50" s="14"/>
      <c r="C50" s="14"/>
      <c r="D50" s="14">
        <v>60</v>
      </c>
      <c r="E50" s="15">
        <v>58</v>
      </c>
      <c r="F50" s="15">
        <v>30</v>
      </c>
      <c r="G50" s="15">
        <v>23</v>
      </c>
      <c r="H50" s="16">
        <v>14</v>
      </c>
      <c r="I50" s="13"/>
      <c r="J50" s="23" t="s">
        <v>58</v>
      </c>
      <c r="K50" s="17" t="str">
        <f>IF(B50="","",B50/$B$68)</f>
        <v/>
      </c>
      <c r="L50" s="17" t="str">
        <f>IF(C50="","",C50/$C$68)</f>
        <v/>
      </c>
      <c r="M50" s="17">
        <f>IF(D50="","",D50/$D$68)</f>
        <v>1.935483870967742</v>
      </c>
      <c r="N50" s="18">
        <f>IF(E50="","",E50/$E$68)</f>
        <v>1.8709677419354838</v>
      </c>
      <c r="O50" s="18">
        <f>IF(F50="","",F50/$F$68)</f>
        <v>1.0714285714285714</v>
      </c>
      <c r="P50" s="18">
        <f>IF(G50="","",G50/$G$68)</f>
        <v>0.74193548387096775</v>
      </c>
      <c r="Q50" s="19">
        <f>IF(H50="","",H50/$H$68)</f>
        <v>1.0769230769230769</v>
      </c>
    </row>
    <row r="51" spans="1:17" x14ac:dyDescent="0.3">
      <c r="A51" s="4" t="s">
        <v>59</v>
      </c>
      <c r="B51" s="14">
        <v>3523</v>
      </c>
      <c r="C51" s="14">
        <v>7055</v>
      </c>
      <c r="D51" s="14">
        <v>6436</v>
      </c>
      <c r="E51" s="15">
        <v>13035</v>
      </c>
      <c r="F51" s="15">
        <v>6500</v>
      </c>
      <c r="G51" s="15">
        <v>371</v>
      </c>
      <c r="H51" s="16">
        <v>6</v>
      </c>
      <c r="I51" s="13"/>
      <c r="J51" s="23" t="s">
        <v>59</v>
      </c>
      <c r="K51" s="17">
        <f>IF(B51="","",B51/$B$68)</f>
        <v>113.64516129032258</v>
      </c>
      <c r="L51" s="17">
        <f>IF(C51="","",C51/$C$68)</f>
        <v>235.16666666666666</v>
      </c>
      <c r="M51" s="17">
        <f>IF(D51="","",D51/$D$68)</f>
        <v>207.61290322580646</v>
      </c>
      <c r="N51" s="18">
        <f>IF(E51="","",E51/$E$68)</f>
        <v>420.48387096774195</v>
      </c>
      <c r="O51" s="18">
        <f>IF(F51="","",F51/$F$68)</f>
        <v>232.14285714285714</v>
      </c>
      <c r="P51" s="18">
        <f>IF(G51="","",G51/$G$68)</f>
        <v>11.96774193548387</v>
      </c>
      <c r="Q51" s="19">
        <f>IF(H51="","",H51/$H$68)</f>
        <v>0.46153846153846156</v>
      </c>
    </row>
    <row r="52" spans="1:17" x14ac:dyDescent="0.3">
      <c r="A52" s="4" t="s">
        <v>60</v>
      </c>
      <c r="B52" s="14"/>
      <c r="C52" s="14"/>
      <c r="D52" s="14"/>
      <c r="E52" s="15"/>
      <c r="F52" s="15"/>
      <c r="G52" s="15">
        <v>4</v>
      </c>
      <c r="H52" s="16">
        <v>1</v>
      </c>
      <c r="I52" s="13"/>
      <c r="J52" s="23" t="s">
        <v>60</v>
      </c>
      <c r="K52" s="17" t="str">
        <f>IF(B52="","",B52/$B$68)</f>
        <v/>
      </c>
      <c r="L52" s="17" t="str">
        <f>IF(C52="","",C52/$C$68)</f>
        <v/>
      </c>
      <c r="M52" s="17" t="str">
        <f>IF(D52="","",D52/$D$68)</f>
        <v/>
      </c>
      <c r="N52" s="18" t="str">
        <f>IF(E52="","",E52/$E$68)</f>
        <v/>
      </c>
      <c r="O52" s="18" t="str">
        <f>IF(F52="","",F52/$F$68)</f>
        <v/>
      </c>
      <c r="P52" s="18">
        <f>IF(G52="","",G52/$G$68)</f>
        <v>0.12903225806451613</v>
      </c>
      <c r="Q52" s="19">
        <f>IF(H52="","",H52/$H$68)</f>
        <v>7.6923076923076927E-2</v>
      </c>
    </row>
    <row r="53" spans="1:17" x14ac:dyDescent="0.3">
      <c r="A53" s="4" t="s">
        <v>61</v>
      </c>
      <c r="B53" s="14"/>
      <c r="C53" s="14"/>
      <c r="D53" s="14"/>
      <c r="E53" s="15"/>
      <c r="F53" s="15">
        <v>3</v>
      </c>
      <c r="G53" s="15">
        <v>13</v>
      </c>
      <c r="H53" s="16">
        <v>1</v>
      </c>
      <c r="I53" s="13"/>
      <c r="J53" s="23" t="s">
        <v>61</v>
      </c>
      <c r="K53" s="17" t="str">
        <f>IF(B53="","",B53/$B$68)</f>
        <v/>
      </c>
      <c r="L53" s="17" t="str">
        <f>IF(C53="","",C53/$C$68)</f>
        <v/>
      </c>
      <c r="M53" s="17" t="str">
        <f>IF(D53="","",D53/$D$68)</f>
        <v/>
      </c>
      <c r="N53" s="18" t="str">
        <f>IF(E53="","",E53/$E$68)</f>
        <v/>
      </c>
      <c r="O53" s="18">
        <f>IF(F53="","",F53/$F$68)</f>
        <v>0.10714285714285714</v>
      </c>
      <c r="P53" s="18">
        <f>IF(G53="","",G53/$G$68)</f>
        <v>0.41935483870967744</v>
      </c>
      <c r="Q53" s="19">
        <f>IF(H53="","",H53/$H$68)</f>
        <v>7.6923076923076927E-2</v>
      </c>
    </row>
    <row r="54" spans="1:17" x14ac:dyDescent="0.3">
      <c r="A54" s="4" t="s">
        <v>62</v>
      </c>
      <c r="B54" s="14"/>
      <c r="C54" s="14"/>
      <c r="D54" s="14"/>
      <c r="E54" s="15"/>
      <c r="F54" s="15"/>
      <c r="G54" s="15">
        <v>1</v>
      </c>
      <c r="H54" s="16"/>
      <c r="I54" s="13"/>
      <c r="J54" s="23" t="s">
        <v>62</v>
      </c>
      <c r="K54" s="17" t="str">
        <f>IF(B54="","",B54/$B$68)</f>
        <v/>
      </c>
      <c r="L54" s="17" t="str">
        <f>IF(C54="","",C54/$C$68)</f>
        <v/>
      </c>
      <c r="M54" s="17" t="str">
        <f>IF(D54="","",D54/$D$68)</f>
        <v/>
      </c>
      <c r="N54" s="18" t="str">
        <f>IF(E54="","",E54/$E$68)</f>
        <v/>
      </c>
      <c r="O54" s="18" t="str">
        <f>IF(F54="","",F54/$F$68)</f>
        <v/>
      </c>
      <c r="P54" s="18">
        <f>IF(G54="","",G54/$G$68)</f>
        <v>3.2258064516129031E-2</v>
      </c>
      <c r="Q54" s="19" t="str">
        <f>IF(H54="","",H54/$H$68)</f>
        <v/>
      </c>
    </row>
    <row r="55" spans="1:17" x14ac:dyDescent="0.3">
      <c r="A55" s="4" t="s">
        <v>63</v>
      </c>
      <c r="B55" s="14"/>
      <c r="C55" s="14"/>
      <c r="D55" s="14"/>
      <c r="E55" s="15"/>
      <c r="F55" s="15"/>
      <c r="G55" s="15">
        <v>93</v>
      </c>
      <c r="H55" s="16"/>
      <c r="I55" s="13"/>
      <c r="J55" s="23" t="s">
        <v>63</v>
      </c>
      <c r="K55" s="17" t="str">
        <f>IF(B55="","",B55/$B$68)</f>
        <v/>
      </c>
      <c r="L55" s="17" t="str">
        <f>IF(C55="","",C55/$C$68)</f>
        <v/>
      </c>
      <c r="M55" s="17" t="str">
        <f>IF(D55="","",D55/$D$68)</f>
        <v/>
      </c>
      <c r="N55" s="18" t="str">
        <f>IF(E55="","",E55/$E$68)</f>
        <v/>
      </c>
      <c r="O55" s="18" t="str">
        <f>IF(F55="","",F55/$F$68)</f>
        <v/>
      </c>
      <c r="P55" s="18">
        <f>IF(G55="","",G55/$G$68)</f>
        <v>3</v>
      </c>
      <c r="Q55" s="19" t="str">
        <f>IF(H55="","",H55/$H$68)</f>
        <v/>
      </c>
    </row>
    <row r="56" spans="1:17" x14ac:dyDescent="0.3">
      <c r="A56" s="4" t="s">
        <v>64</v>
      </c>
      <c r="B56" s="14">
        <v>247</v>
      </c>
      <c r="C56" s="14"/>
      <c r="D56" s="14"/>
      <c r="E56" s="15">
        <v>4</v>
      </c>
      <c r="F56" s="15">
        <v>6</v>
      </c>
      <c r="G56" s="15">
        <v>2</v>
      </c>
      <c r="H56" s="16"/>
      <c r="I56" s="13"/>
      <c r="J56" s="23" t="s">
        <v>64</v>
      </c>
      <c r="K56" s="17">
        <f>IF(B56="","",B56/$B$68)</f>
        <v>7.967741935483871</v>
      </c>
      <c r="L56" s="17" t="str">
        <f>IF(C56="","",C56/$C$68)</f>
        <v/>
      </c>
      <c r="M56" s="17" t="str">
        <f>IF(D56="","",D56/$D$68)</f>
        <v/>
      </c>
      <c r="N56" s="18">
        <f>IF(E56="","",E56/$E$68)</f>
        <v>0.12903225806451613</v>
      </c>
      <c r="O56" s="18">
        <f>IF(F56="","",F56/$F$68)</f>
        <v>0.21428571428571427</v>
      </c>
      <c r="P56" s="18">
        <f>IF(G56="","",G56/$G$68)</f>
        <v>6.4516129032258063E-2</v>
      </c>
      <c r="Q56" s="19" t="str">
        <f>IF(H56="","",H56/$H$68)</f>
        <v/>
      </c>
    </row>
    <row r="57" spans="1:17" x14ac:dyDescent="0.3">
      <c r="A57" s="4" t="s">
        <v>65</v>
      </c>
      <c r="B57" s="14"/>
      <c r="C57" s="14"/>
      <c r="D57" s="14"/>
      <c r="E57" s="15">
        <v>1</v>
      </c>
      <c r="F57" s="15">
        <v>1</v>
      </c>
      <c r="G57" s="15">
        <v>4</v>
      </c>
      <c r="H57" s="16"/>
      <c r="I57" s="13"/>
      <c r="J57" s="23" t="s">
        <v>65</v>
      </c>
      <c r="K57" s="17" t="str">
        <f>IF(B57="","",B57/$B$68)</f>
        <v/>
      </c>
      <c r="L57" s="17" t="str">
        <f>IF(C57="","",C57/$C$68)</f>
        <v/>
      </c>
      <c r="M57" s="17" t="str">
        <f>IF(D57="","",D57/$D$68)</f>
        <v/>
      </c>
      <c r="N57" s="18">
        <f>IF(E57="","",E57/$E$68)</f>
        <v>3.2258064516129031E-2</v>
      </c>
      <c r="O57" s="18">
        <f>IF(F57="","",F57/$F$68)</f>
        <v>3.5714285714285712E-2</v>
      </c>
      <c r="P57" s="18">
        <f>IF(G57="","",G57/$G$68)</f>
        <v>0.12903225806451613</v>
      </c>
      <c r="Q57" s="19" t="str">
        <f>IF(H57="","",H57/$H$68)</f>
        <v/>
      </c>
    </row>
    <row r="58" spans="1:17" x14ac:dyDescent="0.3">
      <c r="A58" s="4" t="s">
        <v>66</v>
      </c>
      <c r="B58" s="14"/>
      <c r="C58" s="14"/>
      <c r="D58" s="14"/>
      <c r="E58" s="15"/>
      <c r="F58" s="15">
        <v>2</v>
      </c>
      <c r="G58" s="15">
        <v>2</v>
      </c>
      <c r="H58" s="16"/>
      <c r="I58" s="13"/>
      <c r="J58" s="23" t="s">
        <v>66</v>
      </c>
      <c r="K58" s="17" t="str">
        <f>IF(B58="","",B58/$B$68)</f>
        <v/>
      </c>
      <c r="L58" s="17" t="str">
        <f>IF(C58="","",C58/$C$68)</f>
        <v/>
      </c>
      <c r="M58" s="17" t="str">
        <f>IF(D58="","",D58/$D$68)</f>
        <v/>
      </c>
      <c r="N58" s="18" t="str">
        <f>IF(E58="","",E58/$E$68)</f>
        <v/>
      </c>
      <c r="O58" s="18">
        <f>IF(F58="","",F58/$F$68)</f>
        <v>7.1428571428571425E-2</v>
      </c>
      <c r="P58" s="18">
        <f>IF(G58="","",G58/$G$68)</f>
        <v>6.4516129032258063E-2</v>
      </c>
      <c r="Q58" s="19" t="str">
        <f>IF(H58="","",H58/$H$68)</f>
        <v/>
      </c>
    </row>
    <row r="59" spans="1:17" x14ac:dyDescent="0.3">
      <c r="A59" s="4" t="s">
        <v>67</v>
      </c>
      <c r="B59" s="14"/>
      <c r="C59" s="14"/>
      <c r="D59" s="14"/>
      <c r="E59" s="15"/>
      <c r="F59" s="15">
        <v>2</v>
      </c>
      <c r="G59" s="15">
        <v>3</v>
      </c>
      <c r="H59" s="16"/>
      <c r="I59" s="13"/>
      <c r="J59" s="23" t="s">
        <v>67</v>
      </c>
      <c r="K59" s="17" t="str">
        <f>IF(B59="","",B59/$B$68)</f>
        <v/>
      </c>
      <c r="L59" s="17" t="str">
        <f>IF(C59="","",C59/$C$68)</f>
        <v/>
      </c>
      <c r="M59" s="17" t="str">
        <f>IF(D59="","",D59/$D$68)</f>
        <v/>
      </c>
      <c r="N59" s="18" t="str">
        <f>IF(E59="","",E59/$E$68)</f>
        <v/>
      </c>
      <c r="O59" s="18">
        <f>IF(F59="","",F59/$F$68)</f>
        <v>7.1428571428571425E-2</v>
      </c>
      <c r="P59" s="18">
        <f>IF(G59="","",G59/$G$68)</f>
        <v>9.6774193548387094E-2</v>
      </c>
      <c r="Q59" s="19" t="str">
        <f>IF(H59="","",H59/$H$68)</f>
        <v/>
      </c>
    </row>
    <row r="60" spans="1:17" x14ac:dyDescent="0.3">
      <c r="A60" s="4" t="s">
        <v>68</v>
      </c>
      <c r="B60" s="14"/>
      <c r="C60" s="14"/>
      <c r="D60" s="14"/>
      <c r="E60" s="15"/>
      <c r="F60" s="15">
        <v>1</v>
      </c>
      <c r="G60" s="15"/>
      <c r="H60" s="16"/>
      <c r="I60" s="13"/>
      <c r="J60" s="23" t="s">
        <v>68</v>
      </c>
      <c r="K60" s="17" t="str">
        <f>IF(B60="","",B60/$B$68)</f>
        <v/>
      </c>
      <c r="L60" s="17" t="str">
        <f>IF(C60="","",C60/$C$68)</f>
        <v/>
      </c>
      <c r="M60" s="17" t="str">
        <f>IF(D60="","",D60/$D$68)</f>
        <v/>
      </c>
      <c r="N60" s="18" t="str">
        <f>IF(E60="","",E60/$E$68)</f>
        <v/>
      </c>
      <c r="O60" s="18">
        <f>IF(F60="","",F60/$F$68)</f>
        <v>3.5714285714285712E-2</v>
      </c>
      <c r="P60" s="18" t="str">
        <f>IF(G60="","",G60/$G$68)</f>
        <v/>
      </c>
      <c r="Q60" s="19" t="str">
        <f>IF(H60="","",H60/$H$68)</f>
        <v/>
      </c>
    </row>
    <row r="61" spans="1:17" x14ac:dyDescent="0.3">
      <c r="A61" s="4" t="s">
        <v>69</v>
      </c>
      <c r="B61" s="14"/>
      <c r="C61" s="14">
        <v>229</v>
      </c>
      <c r="D61" s="14">
        <v>27</v>
      </c>
      <c r="E61" s="15">
        <v>54</v>
      </c>
      <c r="F61" s="15">
        <v>16</v>
      </c>
      <c r="G61" s="15">
        <v>32</v>
      </c>
      <c r="H61" s="16"/>
      <c r="I61" s="13"/>
      <c r="J61" s="23" t="s">
        <v>69</v>
      </c>
      <c r="K61" s="17" t="str">
        <f>IF(B61="","",B61/$B$68)</f>
        <v/>
      </c>
      <c r="L61" s="17">
        <f>IF(C61="","",C61/$C$68)</f>
        <v>7.6333333333333337</v>
      </c>
      <c r="M61" s="17">
        <f>IF(D61="","",D61/$D$68)</f>
        <v>0.87096774193548387</v>
      </c>
      <c r="N61" s="18">
        <f>IF(E61="","",E61/$E$68)</f>
        <v>1.7419354838709677</v>
      </c>
      <c r="O61" s="18">
        <f>IF(F61="","",F61/$F$68)</f>
        <v>0.5714285714285714</v>
      </c>
      <c r="P61" s="18">
        <f>IF(G61="","",G61/$G$68)</f>
        <v>1.032258064516129</v>
      </c>
      <c r="Q61" s="19" t="str">
        <f>IF(H61="","",H61/$H$68)</f>
        <v/>
      </c>
    </row>
    <row r="62" spans="1:17" x14ac:dyDescent="0.3">
      <c r="A62" s="4" t="s">
        <v>70</v>
      </c>
      <c r="B62" s="14"/>
      <c r="C62" s="14"/>
      <c r="D62" s="14">
        <v>9</v>
      </c>
      <c r="E62" s="15">
        <v>17</v>
      </c>
      <c r="F62" s="15"/>
      <c r="G62" s="15"/>
      <c r="H62" s="16"/>
      <c r="I62" s="13"/>
      <c r="J62" s="23" t="s">
        <v>70</v>
      </c>
      <c r="K62" s="17" t="str">
        <f>IF(B62="","",B62/$B$68)</f>
        <v/>
      </c>
      <c r="L62" s="17" t="str">
        <f>IF(C62="","",C62/$C$68)</f>
        <v/>
      </c>
      <c r="M62" s="17">
        <f>IF(D62="","",D62/$D$68)</f>
        <v>0.29032258064516131</v>
      </c>
      <c r="N62" s="18">
        <f>IF(E62="","",E62/$E$68)</f>
        <v>0.54838709677419351</v>
      </c>
      <c r="O62" s="18" t="str">
        <f>IF(F62="","",F62/$F$68)</f>
        <v/>
      </c>
      <c r="P62" s="18" t="str">
        <f>IF(G62="","",G62/$G$68)</f>
        <v/>
      </c>
      <c r="Q62" s="19" t="str">
        <f>IF(H62="","",H62/$H$68)</f>
        <v/>
      </c>
    </row>
    <row r="63" spans="1:17" x14ac:dyDescent="0.3">
      <c r="A63" s="4" t="s">
        <v>71</v>
      </c>
      <c r="B63" s="14">
        <v>3</v>
      </c>
      <c r="C63" s="14"/>
      <c r="D63" s="14"/>
      <c r="E63" s="15">
        <v>1</v>
      </c>
      <c r="F63" s="15"/>
      <c r="G63" s="15"/>
      <c r="H63" s="16"/>
      <c r="I63" s="13"/>
      <c r="J63" s="23" t="s">
        <v>71</v>
      </c>
      <c r="K63" s="17">
        <f>IF(B63="","",B63/$B$68)</f>
        <v>9.6774193548387094E-2</v>
      </c>
      <c r="L63" s="17" t="str">
        <f>IF(C63="","",C63/$C$68)</f>
        <v/>
      </c>
      <c r="M63" s="17" t="str">
        <f>IF(D63="","",D63/$D$68)</f>
        <v/>
      </c>
      <c r="N63" s="18">
        <f>IF(E63="","",E63/$E$68)</f>
        <v>3.2258064516129031E-2</v>
      </c>
      <c r="O63" s="18" t="str">
        <f>IF(F63="","",F63/$F$68)</f>
        <v/>
      </c>
      <c r="P63" s="18" t="str">
        <f>IF(G63="","",G63/$G$68)</f>
        <v/>
      </c>
      <c r="Q63" s="19" t="str">
        <f>IF(H63="","",H63/$H$68)</f>
        <v/>
      </c>
    </row>
    <row r="64" spans="1:17" x14ac:dyDescent="0.3">
      <c r="A64" s="4" t="s">
        <v>72</v>
      </c>
      <c r="B64" s="14"/>
      <c r="C64" s="14"/>
      <c r="D64" s="14"/>
      <c r="E64" s="15"/>
      <c r="F64" s="15">
        <v>1</v>
      </c>
      <c r="G64" s="15">
        <v>55</v>
      </c>
      <c r="H64" s="16"/>
      <c r="I64" s="13"/>
      <c r="J64" s="23" t="s">
        <v>72</v>
      </c>
      <c r="K64" s="17" t="str">
        <f>IF(B64="","",B64/$B$68)</f>
        <v/>
      </c>
      <c r="L64" s="17" t="str">
        <f>IF(C64="","",C64/$C$68)</f>
        <v/>
      </c>
      <c r="M64" s="17" t="str">
        <f>IF(D64="","",D64/$D$68)</f>
        <v/>
      </c>
      <c r="N64" s="18" t="str">
        <f>IF(E64="","",E64/$E$68)</f>
        <v/>
      </c>
      <c r="O64" s="18">
        <f>IF(F64="","",F64/$F$68)</f>
        <v>3.5714285714285712E-2</v>
      </c>
      <c r="P64" s="18">
        <f>IF(G64="","",G64/$G$68)</f>
        <v>1.7741935483870968</v>
      </c>
      <c r="Q64" s="19" t="str">
        <f>IF(H64="","",H64/$H$68)</f>
        <v/>
      </c>
    </row>
    <row r="65" spans="1:17" ht="15" thickBot="1" x14ac:dyDescent="0.35">
      <c r="A65" s="4" t="s">
        <v>73</v>
      </c>
      <c r="B65" s="14"/>
      <c r="C65" s="14"/>
      <c r="D65" s="14"/>
      <c r="E65" s="15"/>
      <c r="F65" s="15">
        <v>1</v>
      </c>
      <c r="G65" s="15">
        <v>1</v>
      </c>
      <c r="H65" s="16"/>
      <c r="I65" s="13"/>
      <c r="J65" s="23" t="s">
        <v>73</v>
      </c>
      <c r="K65" s="17" t="str">
        <f>IF(B65="","",B65/$B$68)</f>
        <v/>
      </c>
      <c r="L65" s="17" t="str">
        <f>IF(C65="","",C65/$C$68)</f>
        <v/>
      </c>
      <c r="M65" s="17" t="str">
        <f>IF(D65="","",D65/$D$68)</f>
        <v/>
      </c>
      <c r="N65" s="18" t="str">
        <f>IF(E65="","",E65/$E$68)</f>
        <v/>
      </c>
      <c r="O65" s="18">
        <f>IF(F65="","",F65/$F$68)</f>
        <v>3.5714285714285712E-2</v>
      </c>
      <c r="P65" s="18">
        <f>IF(G65="","",G65/$G$68)</f>
        <v>3.2258064516129031E-2</v>
      </c>
      <c r="Q65" s="19" t="str">
        <f>IF(H65="","",H65/$H$68)</f>
        <v/>
      </c>
    </row>
    <row r="66" spans="1:17" ht="15" thickBot="1" x14ac:dyDescent="0.35">
      <c r="A66" s="5" t="s">
        <v>74</v>
      </c>
      <c r="B66" s="20">
        <f t="shared" ref="B66:H66" si="0">SUM(B4:B65)</f>
        <v>18816</v>
      </c>
      <c r="C66" s="20">
        <f t="shared" si="0"/>
        <v>20407</v>
      </c>
      <c r="D66" s="20">
        <f t="shared" si="0"/>
        <v>24206</v>
      </c>
      <c r="E66" s="20">
        <f t="shared" si="0"/>
        <v>36979</v>
      </c>
      <c r="F66" s="20">
        <f t="shared" si="0"/>
        <v>33063</v>
      </c>
      <c r="G66" s="20">
        <f t="shared" si="0"/>
        <v>39380</v>
      </c>
      <c r="H66" s="20">
        <f t="shared" si="0"/>
        <v>22888</v>
      </c>
      <c r="I66" s="13"/>
      <c r="J66" s="24" t="s">
        <v>74</v>
      </c>
      <c r="K66" s="21">
        <f>B66/$B$68</f>
        <v>606.9677419354839</v>
      </c>
      <c r="L66" s="21">
        <f>C66/$C$68</f>
        <v>680.23333333333335</v>
      </c>
      <c r="M66" s="21">
        <f>D66/$D$68</f>
        <v>780.83870967741939</v>
      </c>
      <c r="N66" s="21">
        <f>E66/$E$68</f>
        <v>1192.8709677419354</v>
      </c>
      <c r="O66" s="21">
        <f>F66/$F$68</f>
        <v>1180.8214285714287</v>
      </c>
      <c r="P66" s="21">
        <f>G66/$G$68</f>
        <v>1270.3225806451612</v>
      </c>
      <c r="Q66" s="21">
        <f>H66/$H$68</f>
        <v>1760.6153846153845</v>
      </c>
    </row>
    <row r="67" spans="1:17" ht="15.6" x14ac:dyDescent="0.3">
      <c r="A67" s="6" t="s">
        <v>75</v>
      </c>
      <c r="B67" s="22">
        <f t="shared" ref="B67:H67" si="1">COUNTA(B4:B65)</f>
        <v>21</v>
      </c>
      <c r="C67" s="22">
        <f t="shared" si="1"/>
        <v>21</v>
      </c>
      <c r="D67" s="22">
        <f t="shared" si="1"/>
        <v>32</v>
      </c>
      <c r="E67" s="22">
        <f>COUNTA(E4:E65)</f>
        <v>45</v>
      </c>
      <c r="F67" s="22">
        <f t="shared" si="1"/>
        <v>53</v>
      </c>
      <c r="G67" s="22">
        <f t="shared" si="1"/>
        <v>59</v>
      </c>
      <c r="H67" s="22">
        <f t="shared" si="1"/>
        <v>50</v>
      </c>
      <c r="I67" s="13"/>
      <c r="J67" s="25" t="s">
        <v>75</v>
      </c>
      <c r="K67" s="22">
        <f>COUNTA(B4:B65)</f>
        <v>21</v>
      </c>
      <c r="L67" s="22">
        <f>COUNTA(C4:C65)</f>
        <v>21</v>
      </c>
      <c r="M67" s="22">
        <f>COUNTA(D4:D65)</f>
        <v>32</v>
      </c>
      <c r="N67" s="22">
        <f>COUNTA(E4:E65)</f>
        <v>45</v>
      </c>
      <c r="O67" s="22">
        <f>COUNTA(F4:F65)</f>
        <v>53</v>
      </c>
      <c r="P67" s="22">
        <f>COUNTA(G4:G65)</f>
        <v>59</v>
      </c>
      <c r="Q67" s="22">
        <f>COUNTA(H4:H65)</f>
        <v>50</v>
      </c>
    </row>
    <row r="68" spans="1:17" ht="15.6" x14ac:dyDescent="0.3">
      <c r="A68" s="7" t="s">
        <v>76</v>
      </c>
      <c r="B68" s="8">
        <v>31</v>
      </c>
      <c r="C68" s="8">
        <v>30</v>
      </c>
      <c r="D68" s="8">
        <v>31</v>
      </c>
      <c r="E68" s="8">
        <v>31</v>
      </c>
      <c r="F68" s="8">
        <v>28</v>
      </c>
      <c r="G68" s="8">
        <v>31</v>
      </c>
      <c r="H68" s="8">
        <v>13</v>
      </c>
      <c r="J68" s="25" t="s">
        <v>80</v>
      </c>
      <c r="K68" s="22">
        <f>COUNTIF(K4:K65,"&gt;10")</f>
        <v>11</v>
      </c>
      <c r="L68" s="22">
        <f>COUNTIF(L4:L65,"&gt;10")</f>
        <v>11</v>
      </c>
      <c r="M68" s="22">
        <f>COUNTIF(M4:M65,"&gt;10")</f>
        <v>12</v>
      </c>
      <c r="N68" s="22">
        <f>COUNTIF(N4:N65,"&gt;10")</f>
        <v>20</v>
      </c>
      <c r="O68" s="22">
        <f>COUNTIF(O4:O65,"&gt;10")</f>
        <v>26</v>
      </c>
      <c r="P68" s="22">
        <f>COUNTIF(P4:P65,"&gt;10")</f>
        <v>34</v>
      </c>
      <c r="Q68" s="22">
        <f>COUNTIF(Q4:Q65,"&gt;10")</f>
        <v>31</v>
      </c>
    </row>
    <row r="69" spans="1:17" ht="15.6" x14ac:dyDescent="0.3">
      <c r="J69" s="25" t="s">
        <v>79</v>
      </c>
      <c r="K69" s="22">
        <f>COUNTIF(K4:K65,"&gt;15")</f>
        <v>10</v>
      </c>
      <c r="L69" s="22">
        <f>COUNTIF(L4:L65,"&gt;15")</f>
        <v>11</v>
      </c>
      <c r="M69" s="22">
        <f>COUNTIF(M4:M65,"&gt;15")</f>
        <v>11</v>
      </c>
      <c r="N69" s="22">
        <f>COUNTIF(N4:N65,"&gt;15")</f>
        <v>14</v>
      </c>
      <c r="O69" s="22">
        <f>COUNTIF(O4:O65,"&gt;15")</f>
        <v>23</v>
      </c>
      <c r="P69" s="22">
        <f>COUNTIF(P4:P65,"&gt;15")</f>
        <v>27</v>
      </c>
      <c r="Q69" s="22">
        <f>COUNTIF(Q4:Q65,"&gt;15")</f>
        <v>26</v>
      </c>
    </row>
    <row r="70" spans="1:17" ht="15.6" x14ac:dyDescent="0.3">
      <c r="J70" s="25" t="s">
        <v>81</v>
      </c>
      <c r="K70" s="22">
        <f>COUNTIF(K4:K65,"&gt;20")</f>
        <v>10</v>
      </c>
      <c r="L70" s="22">
        <f>COUNTIF(L4:L65,"&gt;20")</f>
        <v>10</v>
      </c>
      <c r="M70" s="22">
        <f>COUNTIF(M4:M65,"&gt;20")</f>
        <v>11</v>
      </c>
      <c r="N70" s="22">
        <f>COUNTIF(N4:N65,"&gt;20")</f>
        <v>12</v>
      </c>
      <c r="O70" s="22">
        <f>COUNTIF(O4:O65,"&gt;20")</f>
        <v>15</v>
      </c>
      <c r="P70" s="22">
        <f>COUNTIF(P4:P65,"&gt;20")</f>
        <v>23</v>
      </c>
      <c r="Q70" s="22">
        <f>COUNTIF(Q4:Q65,"&gt;20")</f>
        <v>24</v>
      </c>
    </row>
    <row r="71" spans="1:17" ht="15.6" x14ac:dyDescent="0.3">
      <c r="J71" s="25" t="s">
        <v>78</v>
      </c>
      <c r="K71" s="22">
        <f>COUNTIF(K4:K65,"&gt;25")</f>
        <v>10</v>
      </c>
      <c r="L71" s="22">
        <f>COUNTIF(L4:L65,"&gt;25")</f>
        <v>9</v>
      </c>
      <c r="M71" s="22">
        <f>COUNTIF(M4:M65,"&gt;25")</f>
        <v>10</v>
      </c>
      <c r="N71" s="22">
        <f>COUNTIF(N4:N65,"&gt;25")</f>
        <v>10</v>
      </c>
      <c r="O71" s="22">
        <f>COUNTIF(O4:O65,"&gt;25")</f>
        <v>13</v>
      </c>
      <c r="P71" s="22">
        <f>COUNTIF(P4:P65,"&gt;25")</f>
        <v>17</v>
      </c>
      <c r="Q71" s="22">
        <f>COUNTIF(Q4:Q65,"&gt;25")</f>
        <v>21</v>
      </c>
    </row>
  </sheetData>
  <mergeCells count="3">
    <mergeCell ref="E2:G2"/>
    <mergeCell ref="A1:H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Guerin</cp:lastModifiedBy>
  <dcterms:created xsi:type="dcterms:W3CDTF">2026-04-14T22:35:11Z</dcterms:created>
  <dcterms:modified xsi:type="dcterms:W3CDTF">2026-04-14T22:46:51Z</dcterms:modified>
</cp:coreProperties>
</file>